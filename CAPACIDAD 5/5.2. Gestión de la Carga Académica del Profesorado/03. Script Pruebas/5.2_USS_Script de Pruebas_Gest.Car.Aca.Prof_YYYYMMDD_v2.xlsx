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S\YRIGOIND\Desktop\"/>
    </mc:Choice>
  </mc:AlternateContent>
  <xr:revisionPtr revIDLastSave="0" documentId="13_ncr:1_{47F0CC69-7032-400F-ADE8-99313FAA560B}" xr6:coauthVersionLast="47" xr6:coauthVersionMax="47" xr10:uidLastSave="{00000000-0000-0000-0000-000000000000}"/>
  <bookViews>
    <workbookView xWindow="-120" yWindow="-120" windowWidth="29040" windowHeight="15840" tabRatio="786" xr2:uid="{00000000-000D-0000-FFFF-FFFF00000000}"/>
  </bookViews>
  <sheets>
    <sheet name="Script Pruebas" sheetId="2" r:id="rId1"/>
    <sheet name="1" sheetId="157" r:id="rId2"/>
    <sheet name="2" sheetId="158" r:id="rId3"/>
    <sheet name="3" sheetId="159" r:id="rId4"/>
    <sheet name="4" sheetId="160" r:id="rId5"/>
    <sheet name="5" sheetId="161" r:id="rId6"/>
    <sheet name="6" sheetId="162" r:id="rId7"/>
    <sheet name="7" sheetId="163" r:id="rId8"/>
    <sheet name="8" sheetId="164" r:id="rId9"/>
    <sheet name="9" sheetId="165" r:id="rId10"/>
    <sheet name="10" sheetId="166" r:id="rId11"/>
    <sheet name="11" sheetId="167" r:id="rId12"/>
    <sheet name="12" sheetId="168" r:id="rId13"/>
    <sheet name="13" sheetId="169" r:id="rId14"/>
    <sheet name="14" sheetId="170" r:id="rId15"/>
    <sheet name="15" sheetId="171" r:id="rId16"/>
    <sheet name="16" sheetId="172" r:id="rId17"/>
    <sheet name="17" sheetId="173" r:id="rId18"/>
  </sheets>
  <externalReferences>
    <externalReference r:id="rId19"/>
  </externalReferences>
  <definedNames>
    <definedName name="_xlnm._FilterDatabase" localSheetId="0" hidden="1">'Script Pruebas'!$A$10:$S$10</definedName>
    <definedName name="_xlnm.Print_Area" localSheetId="0">'Script Pruebas'!$A$10:$S$10</definedName>
    <definedName name="Degree">[1]Lookups!$C$2:$C$4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2" l="1"/>
  <c r="J6" i="2"/>
  <c r="J5" i="2"/>
  <c r="C4" i="163" l="1"/>
  <c r="C3" i="163"/>
  <c r="C2" i="163"/>
  <c r="C4" i="164"/>
  <c r="C3" i="164"/>
  <c r="C2" i="164"/>
  <c r="C4" i="165"/>
  <c r="C3" i="165"/>
  <c r="C2" i="165"/>
  <c r="C4" i="166"/>
  <c r="C3" i="166"/>
  <c r="C2" i="166"/>
  <c r="C4" i="167"/>
  <c r="C3" i="167"/>
  <c r="C2" i="167"/>
  <c r="C4" i="168"/>
  <c r="C3" i="168"/>
  <c r="C2" i="168"/>
  <c r="C4" i="169"/>
  <c r="C3" i="169"/>
  <c r="C2" i="169"/>
  <c r="C4" i="170"/>
  <c r="C3" i="170"/>
  <c r="C2" i="170"/>
  <c r="C4" i="171"/>
  <c r="C3" i="171"/>
  <c r="C2" i="171"/>
  <c r="C4" i="172"/>
  <c r="C3" i="172"/>
  <c r="C2" i="172"/>
  <c r="C4" i="173"/>
  <c r="C3" i="173"/>
  <c r="C2" i="173"/>
  <c r="C4" i="162"/>
  <c r="C3" i="162"/>
  <c r="C2" i="162"/>
  <c r="C4" i="161"/>
  <c r="C2" i="161"/>
  <c r="C3" i="161"/>
  <c r="C4" i="160"/>
  <c r="C3" i="160"/>
  <c r="C2" i="160"/>
  <c r="C4" i="159"/>
  <c r="C3" i="159"/>
  <c r="C2" i="159"/>
  <c r="C4" i="158"/>
  <c r="C3" i="158"/>
  <c r="C2" i="158"/>
  <c r="C4" i="157"/>
  <c r="C3" i="157"/>
  <c r="C2" i="157"/>
  <c r="K10" i="2"/>
  <c r="J10" i="2"/>
  <c r="I10" i="2"/>
  <c r="R1" i="2"/>
</calcChain>
</file>

<file path=xl/sharedStrings.xml><?xml version="1.0" encoding="utf-8"?>
<sst xmlns="http://schemas.openxmlformats.org/spreadsheetml/2006/main" count="238" uniqueCount="84">
  <si>
    <t>Pendiente</t>
  </si>
  <si>
    <t>De Proceso (Afecta BBP)</t>
  </si>
  <si>
    <t>Exitoso</t>
  </si>
  <si>
    <t>De Configuración (Afecta LD)</t>
  </si>
  <si>
    <t>Ellucian</t>
  </si>
  <si>
    <t>Con Error</t>
  </si>
  <si>
    <t>De Desarrollo (Afecta Especificación)</t>
  </si>
  <si>
    <t>Nuevo Error</t>
  </si>
  <si>
    <t>Universidad</t>
  </si>
  <si>
    <t>Pendientes</t>
  </si>
  <si>
    <t>Tipo de Prueba</t>
  </si>
  <si>
    <t>Pruebas Unitarias</t>
  </si>
  <si>
    <t>Exitosos</t>
  </si>
  <si>
    <t># Prueba</t>
  </si>
  <si>
    <t>Fecha de Prueba Planeada</t>
  </si>
  <si>
    <t>Tiempo estimado prueba(Minutos)</t>
  </si>
  <si>
    <t>Fecha última Prueba</t>
  </si>
  <si>
    <t>Descripción de la Prueba</t>
  </si>
  <si>
    <t>Lógica Aplicada</t>
  </si>
  <si>
    <t>Resultado Esperado</t>
  </si>
  <si>
    <t>ID de Banner en TEST</t>
  </si>
  <si>
    <t>Fecha de la Prueba</t>
  </si>
  <si>
    <t># Incidencia</t>
  </si>
  <si>
    <t>Tipo de Error</t>
  </si>
  <si>
    <t>Descripción del Error</t>
  </si>
  <si>
    <t>Responsable del Error</t>
  </si>
  <si>
    <t>LOG Comentarios</t>
  </si>
  <si>
    <t>Decripción de la prueba:</t>
  </si>
  <si>
    <t xml:space="preserve">Resultado Esperado: </t>
  </si>
  <si>
    <t>EXTERNADO</t>
  </si>
  <si>
    <t>Regresar al Script de Pruebas</t>
  </si>
  <si>
    <t>INSTITUCION</t>
  </si>
  <si>
    <t>Institución</t>
  </si>
  <si>
    <t>Deben estar configuradas las siguientes tablas de validación:
STVTERM, STVSTYP, STVSTST, STVSTSP, STVHLDD, STVCHRT, STVGADR
Los programas Académicos deben estar configurados en Banner. 
Alumnos y Asesores deben estar creados.</t>
  </si>
  <si>
    <t>Docente creado.</t>
  </si>
  <si>
    <t>Gestión de la Carga Académica del Profesorado</t>
  </si>
  <si>
    <t>Validar reglas de carga en los docentes</t>
  </si>
  <si>
    <t>Capacidad Operativa</t>
  </si>
  <si>
    <t>Validar el cargue de los LD en PROD:
STVFCST
STVFSTP
STVFCNT
STVCNTR</t>
  </si>
  <si>
    <t>Validar que exista la información personal del docente</t>
  </si>
  <si>
    <t>SPAIDEN: si no existe crear la información del docente</t>
  </si>
  <si>
    <t>ID del docente</t>
  </si>
  <si>
    <t>SIAINST</t>
  </si>
  <si>
    <t>Tablas validadas</t>
  </si>
  <si>
    <t>Crear la persona como docente a partir de un periodo académico '000000' con toda la información</t>
  </si>
  <si>
    <t>Mantenimiento SIAINST</t>
  </si>
  <si>
    <t>Actualizar información como categoría, tipo de contrato y regla de contrato para un nuevo periodo académico</t>
  </si>
  <si>
    <t>Adicionar atributos al docente</t>
  </si>
  <si>
    <t>Docente con atributos</t>
  </si>
  <si>
    <t>Adicionar información académica al Docente</t>
  </si>
  <si>
    <t>SIAFDEG</t>
  </si>
  <si>
    <t>Docente con información académica</t>
  </si>
  <si>
    <t>Insertar información de una nueva universidad</t>
  </si>
  <si>
    <t>Docente con información académica actualizada</t>
  </si>
  <si>
    <t>Regla de carg de trabajo creada</t>
  </si>
  <si>
    <t>Validar o configurar el factor de equivalencia de tiempo</t>
  </si>
  <si>
    <t>SIATERM</t>
  </si>
  <si>
    <t>Factor de equivalencia creado</t>
  </si>
  <si>
    <t>Configurar las reglas de trabajo</t>
  </si>
  <si>
    <t>SIAFLRT</t>
  </si>
  <si>
    <t>Regla creada</t>
  </si>
  <si>
    <t>SIAASGN</t>
  </si>
  <si>
    <t>Docente con asignaciones no educativas</t>
  </si>
  <si>
    <t>SIAFLCT</t>
  </si>
  <si>
    <t>Reglas creadas</t>
  </si>
  <si>
    <t>Crear las asignaciones no educativas que puede tener un docente</t>
  </si>
  <si>
    <t>STVNIST</t>
  </si>
  <si>
    <t>Configurar las reglas de carga de trabajo</t>
  </si>
  <si>
    <t>Validar las asignaciones educativas (SSASECT) y no educativas</t>
  </si>
  <si>
    <t xml:space="preserve">Docente con asignaciones  </t>
  </si>
  <si>
    <t>Configurar las reglas de periodo de contrato de docente</t>
  </si>
  <si>
    <t>Realizar el análisis en SIACONA con las reglas de contrato</t>
  </si>
  <si>
    <t>SIACONA</t>
  </si>
  <si>
    <t>Asignaciones no educativas creadas</t>
  </si>
  <si>
    <t>Adicionar asignaciones no educativas al docente</t>
  </si>
  <si>
    <t>Configuración requerida, especificar los pasos de configuración y formas.</t>
  </si>
  <si>
    <t>Fecha Estimada de Solución</t>
  </si>
  <si>
    <t>Realizar el análisis en SIAASGN con Las reglas de carga de trabajo</t>
  </si>
  <si>
    <t>Validar o configurar la reglas de contrato</t>
  </si>
  <si>
    <t>Junior Bravo</t>
  </si>
  <si>
    <t>Noelia y Equipo</t>
  </si>
  <si>
    <t>No aplica</t>
  </si>
  <si>
    <t>Jesus</t>
  </si>
  <si>
    <t>Dr.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</si>
</sst>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[$-409]d\-mmm\-yy;@"/>
    <numFmt numFmtId="166" formatCode="00"/>
  </numFmts>
  <fonts count="35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8"/>
      <color theme="3"/>
      <name val="Arial"/>
      <family val="2"/>
      <scheme val="major"/>
    </font>
    <font>
      <sz val="8"/>
      <color theme="0"/>
      <name val="Arial"/>
      <family val="2"/>
    </font>
    <font>
      <sz val="8"/>
      <color theme="1"/>
      <name val="Arial"/>
      <family val="2"/>
      <scheme val="minor"/>
    </font>
    <font>
      <sz val="8"/>
      <name val="Arial"/>
      <family val="2"/>
    </font>
    <font>
      <b/>
      <sz val="8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sz val="8"/>
      <color theme="0"/>
      <name val="Arial"/>
      <family val="2"/>
    </font>
    <font>
      <sz val="8"/>
      <color rgb="FF2F2F2F"/>
      <name val="Segoe UI"/>
      <family val="2"/>
    </font>
    <font>
      <b/>
      <sz val="8"/>
      <color rgb="FF2F2F2F"/>
      <name val="Segoe UI"/>
      <family val="2"/>
    </font>
    <font>
      <b/>
      <sz val="10"/>
      <color theme="0"/>
      <name val="Arial"/>
      <family val="2"/>
    </font>
    <font>
      <sz val="8"/>
      <name val="Arial"/>
      <family val="2"/>
      <scheme val="minor"/>
    </font>
    <font>
      <sz val="11"/>
      <color rgb="FF7000EB"/>
      <name val="Aptos"/>
      <family val="2"/>
    </font>
    <font>
      <u/>
      <sz val="11"/>
      <color rgb="FF7000EB"/>
      <name val="Arial"/>
      <family val="2"/>
      <scheme val="minor"/>
    </font>
    <font>
      <u/>
      <sz val="11"/>
      <color rgb="FFA91D65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8"/>
      <color rgb="FFFF0000"/>
      <name val="Arial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563BC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7000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4" fillId="0" borderId="0" applyNumberForma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8" fillId="8" borderId="5" applyNumberFormat="0" applyAlignment="0" applyProtection="0"/>
    <xf numFmtId="0" fontId="9" fillId="9" borderId="6" applyNumberFormat="0" applyAlignment="0" applyProtection="0"/>
    <xf numFmtId="0" fontId="10" fillId="9" borderId="5" applyNumberFormat="0" applyAlignment="0" applyProtection="0"/>
    <xf numFmtId="0" fontId="11" fillId="0" borderId="7" applyNumberFormat="0" applyFill="0" applyAlignment="0" applyProtection="0"/>
    <xf numFmtId="0" fontId="12" fillId="10" borderId="8" applyNumberFormat="0" applyAlignment="0" applyProtection="0"/>
    <xf numFmtId="0" fontId="13" fillId="0" borderId="0" applyNumberFormat="0" applyFill="0" applyBorder="0" applyAlignment="0" applyProtection="0"/>
    <xf numFmtId="0" fontId="1" fillId="11" borderId="9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10" applyNumberFormat="0" applyFill="0" applyAlignment="0" applyProtection="0"/>
    <xf numFmtId="0" fontId="1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6" fillId="35" borderId="0" applyNumberFormat="0" applyBorder="0" applyAlignment="0" applyProtection="0"/>
    <xf numFmtId="0" fontId="17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66">
    <xf numFmtId="0" fontId="0" fillId="0" borderId="0" xfId="0"/>
    <xf numFmtId="0" fontId="19" fillId="3" borderId="1" xfId="0" applyFont="1" applyFill="1" applyBorder="1" applyAlignment="1" applyProtection="1">
      <alignment vertical="center"/>
      <protection locked="0"/>
    </xf>
    <xf numFmtId="165" fontId="19" fillId="3" borderId="1" xfId="0" applyNumberFormat="1" applyFont="1" applyFill="1" applyBorder="1" applyAlignment="1" applyProtection="1">
      <alignment vertical="center" wrapText="1"/>
      <protection locked="0"/>
    </xf>
    <xf numFmtId="165" fontId="19" fillId="3" borderId="0" xfId="0" applyNumberFormat="1" applyFont="1" applyFill="1" applyAlignment="1" applyProtection="1">
      <alignment vertical="center" wrapText="1"/>
      <protection locked="0"/>
    </xf>
    <xf numFmtId="0" fontId="19" fillId="3" borderId="0" xfId="0" applyFont="1" applyFill="1" applyAlignment="1" applyProtection="1">
      <alignment vertical="center"/>
      <protection locked="0"/>
    </xf>
    <xf numFmtId="164" fontId="19" fillId="3" borderId="1" xfId="0" applyNumberFormat="1" applyFont="1" applyFill="1" applyBorder="1" applyAlignment="1" applyProtection="1">
      <alignment horizontal="center" vertical="center"/>
      <protection locked="0"/>
    </xf>
    <xf numFmtId="164" fontId="19" fillId="3" borderId="0" xfId="0" applyNumberFormat="1" applyFont="1" applyFill="1" applyAlignment="1" applyProtection="1">
      <alignment horizontal="center" vertical="center"/>
      <protection locked="0"/>
    </xf>
    <xf numFmtId="0" fontId="19" fillId="3" borderId="0" xfId="0" applyFont="1" applyFill="1" applyAlignment="1" applyProtection="1">
      <alignment horizontal="center" vertical="center"/>
      <protection locked="0"/>
    </xf>
    <xf numFmtId="0" fontId="19" fillId="3" borderId="1" xfId="0" applyFont="1" applyFill="1" applyBorder="1" applyAlignment="1" applyProtection="1">
      <alignment horizontal="center" vertical="center"/>
      <protection locked="0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 applyProtection="1">
      <alignment vertical="center" wrapText="1"/>
      <protection locked="0"/>
    </xf>
    <xf numFmtId="165" fontId="20" fillId="0" borderId="1" xfId="0" applyNumberFormat="1" applyFont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 applyProtection="1">
      <alignment vertical="center" wrapText="1"/>
      <protection locked="0"/>
    </xf>
    <xf numFmtId="165" fontId="19" fillId="3" borderId="0" xfId="0" applyNumberFormat="1" applyFont="1" applyFill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>
      <alignment horizontal="center" vertical="center"/>
    </xf>
    <xf numFmtId="165" fontId="1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left" vertical="center"/>
    </xf>
    <xf numFmtId="0" fontId="22" fillId="0" borderId="0" xfId="43"/>
    <xf numFmtId="166" fontId="20" fillId="0" borderId="1" xfId="0" applyNumberFormat="1" applyFont="1" applyBorder="1" applyAlignment="1" applyProtection="1">
      <alignment horizontal="center" vertical="center"/>
      <protection locked="0"/>
    </xf>
    <xf numFmtId="0" fontId="22" fillId="4" borderId="1" xfId="43" applyFill="1" applyBorder="1" applyAlignment="1">
      <alignment horizontal="center" vertical="center" wrapText="1"/>
    </xf>
    <xf numFmtId="165" fontId="20" fillId="0" borderId="1" xfId="0" applyNumberFormat="1" applyFont="1" applyBorder="1" applyAlignment="1" applyProtection="1">
      <alignment horizontal="center" vertical="center"/>
      <protection locked="0"/>
    </xf>
    <xf numFmtId="0" fontId="15" fillId="37" borderId="0" xfId="0" applyFont="1" applyFill="1"/>
    <xf numFmtId="0" fontId="26" fillId="0" borderId="0" xfId="0" applyFont="1"/>
    <xf numFmtId="0" fontId="19" fillId="3" borderId="13" xfId="0" applyFont="1" applyFill="1" applyBorder="1" applyAlignment="1">
      <alignment horizontal="center" vertical="center"/>
    </xf>
    <xf numFmtId="0" fontId="19" fillId="3" borderId="13" xfId="0" applyFont="1" applyFill="1" applyBorder="1" applyAlignment="1" applyProtection="1">
      <alignment vertical="center" wrapText="1"/>
      <protection locked="0"/>
    </xf>
    <xf numFmtId="165" fontId="19" fillId="3" borderId="13" xfId="0" applyNumberFormat="1" applyFont="1" applyFill="1" applyBorder="1" applyAlignment="1" applyProtection="1">
      <alignment horizontal="center" vertical="center" wrapText="1"/>
      <protection locked="0"/>
    </xf>
    <xf numFmtId="164" fontId="19" fillId="3" borderId="13" xfId="0" applyNumberFormat="1" applyFont="1" applyFill="1" applyBorder="1" applyAlignment="1" applyProtection="1">
      <alignment horizontal="center" vertical="center"/>
      <protection locked="0"/>
    </xf>
    <xf numFmtId="0" fontId="19" fillId="3" borderId="13" xfId="0" applyFont="1" applyFill="1" applyBorder="1" applyAlignment="1" applyProtection="1">
      <alignment horizontal="center" vertical="center"/>
      <protection locked="0"/>
    </xf>
    <xf numFmtId="0" fontId="19" fillId="3" borderId="13" xfId="0" applyFont="1" applyFill="1" applyBorder="1" applyAlignment="1" applyProtection="1">
      <alignment vertical="center"/>
      <protection locked="0"/>
    </xf>
    <xf numFmtId="165" fontId="19" fillId="3" borderId="13" xfId="0" applyNumberFormat="1" applyFont="1" applyFill="1" applyBorder="1" applyAlignment="1" applyProtection="1">
      <alignment vertical="center" wrapText="1"/>
      <protection locked="0"/>
    </xf>
    <xf numFmtId="0" fontId="21" fillId="3" borderId="0" xfId="0" applyFont="1" applyFill="1" applyAlignment="1" applyProtection="1">
      <alignment vertical="center" wrapText="1"/>
      <protection locked="0"/>
    </xf>
    <xf numFmtId="165" fontId="19" fillId="36" borderId="0" xfId="0" applyNumberFormat="1" applyFont="1" applyFill="1" applyAlignment="1" applyProtection="1">
      <alignment horizontal="center" vertical="center" wrapText="1"/>
      <protection locked="0"/>
    </xf>
    <xf numFmtId="0" fontId="27" fillId="36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65" fontId="19" fillId="37" borderId="0" xfId="0" applyNumberFormat="1" applyFont="1" applyFill="1" applyAlignment="1" applyProtection="1">
      <alignment horizontal="center" vertical="center" wrapText="1"/>
      <protection locked="0"/>
    </xf>
    <xf numFmtId="0" fontId="27" fillId="37" borderId="0" xfId="0" applyFont="1" applyFill="1" applyAlignment="1">
      <alignment horizontal="center"/>
    </xf>
    <xf numFmtId="165" fontId="19" fillId="38" borderId="0" xfId="0" applyNumberFormat="1" applyFont="1" applyFill="1" applyAlignment="1" applyProtection="1">
      <alignment horizontal="center" vertical="center" wrapText="1"/>
      <protection locked="0"/>
    </xf>
    <xf numFmtId="0" fontId="27" fillId="38" borderId="0" xfId="0" applyFont="1" applyFill="1" applyAlignment="1">
      <alignment horizontal="center"/>
    </xf>
    <xf numFmtId="165" fontId="19" fillId="0" borderId="0" xfId="0" applyNumberFormat="1" applyFont="1" applyAlignment="1" applyProtection="1">
      <alignment horizontal="center" vertical="center" wrapText="1"/>
      <protection locked="0"/>
    </xf>
    <xf numFmtId="0" fontId="18" fillId="0" borderId="0" xfId="0" applyFont="1" applyAlignment="1">
      <alignment horizontal="center" vertical="center" wrapText="1"/>
    </xf>
    <xf numFmtId="1" fontId="19" fillId="3" borderId="1" xfId="0" applyNumberFormat="1" applyFont="1" applyFill="1" applyBorder="1" applyAlignment="1">
      <alignment horizontal="center" vertical="center"/>
    </xf>
    <xf numFmtId="1" fontId="19" fillId="3" borderId="13" xfId="0" applyNumberFormat="1" applyFont="1" applyFill="1" applyBorder="1" applyAlignment="1">
      <alignment horizontal="center" vertical="center"/>
    </xf>
    <xf numFmtId="1" fontId="19" fillId="3" borderId="0" xfId="0" applyNumberFormat="1" applyFont="1" applyFill="1" applyAlignment="1">
      <alignment horizontal="center" vertical="center"/>
    </xf>
    <xf numFmtId="0" fontId="21" fillId="3" borderId="0" xfId="0" quotePrefix="1" applyFont="1" applyFill="1" applyAlignment="1" applyProtection="1">
      <alignment vertical="center" wrapText="1"/>
      <protection locked="0"/>
    </xf>
    <xf numFmtId="0" fontId="15" fillId="0" borderId="0" xfId="0" applyFont="1"/>
    <xf numFmtId="0" fontId="28" fillId="39" borderId="0" xfId="0" applyFont="1" applyFill="1" applyAlignment="1">
      <alignment horizontal="left" vertical="top" wrapText="1"/>
    </xf>
    <xf numFmtId="0" fontId="25" fillId="39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40" borderId="1" xfId="0" applyFont="1" applyFill="1" applyBorder="1" applyAlignment="1">
      <alignment horizontal="center" vertical="center" wrapText="1"/>
    </xf>
    <xf numFmtId="0" fontId="30" fillId="41" borderId="1" xfId="0" applyFont="1" applyFill="1" applyBorder="1" applyAlignment="1">
      <alignment horizontal="center" vertical="center" wrapText="1"/>
    </xf>
    <xf numFmtId="0" fontId="31" fillId="4" borderId="1" xfId="43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40" borderId="1" xfId="0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left" vertical="center" wrapText="1"/>
    </xf>
    <xf numFmtId="0" fontId="0" fillId="42" borderId="0" xfId="0" applyFill="1"/>
    <xf numFmtId="0" fontId="23" fillId="42" borderId="0" xfId="0" applyFont="1" applyFill="1" applyAlignment="1">
      <alignment horizontal="left" vertical="center" wrapText="1"/>
    </xf>
    <xf numFmtId="0" fontId="31" fillId="0" borderId="0" xfId="43" applyFont="1"/>
    <xf numFmtId="0" fontId="21" fillId="3" borderId="11" xfId="0" applyFont="1" applyFill="1" applyBorder="1" applyAlignment="1" applyProtection="1">
      <alignment horizontal="center" vertical="center" wrapText="1"/>
      <protection locked="0"/>
    </xf>
    <xf numFmtId="0" fontId="21" fillId="3" borderId="14" xfId="0" applyFont="1" applyFill="1" applyBorder="1" applyAlignment="1" applyProtection="1">
      <alignment horizontal="center" vertical="center" wrapText="1"/>
      <protection locked="0"/>
    </xf>
    <xf numFmtId="0" fontId="21" fillId="3" borderId="12" xfId="0" applyFont="1" applyFill="1" applyBorder="1" applyAlignment="1" applyProtection="1">
      <alignment horizontal="center" vertical="center" wrapText="1"/>
      <protection locked="0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3" builtinId="8"/>
    <cellStyle name="Incorrecto" xfId="7" builtinId="27" customBuiltin="1"/>
    <cellStyle name="Neutral" xfId="8" builtinId="28" customBuiltin="1"/>
    <cellStyle name="Normal" xfId="0" builtinId="0"/>
    <cellStyle name="Normal 2" xfId="1" xr:uid="{00000000-0005-0000-0000-00002300000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itle 2" xfId="42" xr:uid="{00000000-0005-0000-0000-000028000000}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7000EB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4</xdr:row>
      <xdr:rowOff>95250</xdr:rowOff>
    </xdr:from>
    <xdr:to>
      <xdr:col>3</xdr:col>
      <xdr:colOff>513540</xdr:colOff>
      <xdr:row>7</xdr:row>
      <xdr:rowOff>68023</xdr:rowOff>
    </xdr:to>
    <xdr:pic>
      <xdr:nvPicPr>
        <xdr:cNvPr id="3" name="Picture 1" descr="A purple letters on a black background&#10;&#10;AI-generated content may be incorrect.">
          <a:extLst>
            <a:ext uri="{FF2B5EF4-FFF2-40B4-BE49-F238E27FC236}">
              <a16:creationId xmlns:a16="http://schemas.microsoft.com/office/drawing/2014/main" id="{E0632807-47DA-4CF5-BEF0-6994BF827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2247090" cy="455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23</xdr:col>
      <xdr:colOff>250077</xdr:colOff>
      <xdr:row>43</xdr:row>
      <xdr:rowOff>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40FABF1-4989-48BC-B37A-9DAD0CC60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741" y="1861207"/>
          <a:ext cx="18238095" cy="61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23</xdr:col>
      <xdr:colOff>250077</xdr:colOff>
      <xdr:row>63</xdr:row>
      <xdr:rowOff>82755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68AEED-2955-4439-828A-64610BCA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741" y="8189310"/>
          <a:ext cx="18238095" cy="36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23</xdr:col>
      <xdr:colOff>250077</xdr:colOff>
      <xdr:row>95</xdr:row>
      <xdr:rowOff>25903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FA9295-B68D-4D65-80BA-0FB215E7E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9741" y="12097845"/>
          <a:ext cx="18238095" cy="5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23</xdr:col>
      <xdr:colOff>240553</xdr:colOff>
      <xdr:row>116</xdr:row>
      <xdr:rowOff>134729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0EB7BF-CE9F-481C-891C-226C5D9C4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9741" y="17867586"/>
          <a:ext cx="18228571" cy="38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23</xdr:col>
      <xdr:colOff>202458</xdr:colOff>
      <xdr:row>158</xdr:row>
      <xdr:rowOff>31362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EC44E6B-628A-4543-8E04-5F95B40A6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9741" y="21962241"/>
          <a:ext cx="18190476" cy="7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23</xdr:col>
      <xdr:colOff>240553</xdr:colOff>
      <xdr:row>178</xdr:row>
      <xdr:rowOff>120850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3614FB-42C6-41CC-A491-68521C5CF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9741" y="29593190"/>
          <a:ext cx="18228571" cy="36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10</xdr:row>
      <xdr:rowOff>16064</xdr:rowOff>
    </xdr:from>
    <xdr:to>
      <xdr:col>23</xdr:col>
      <xdr:colOff>321571</xdr:colOff>
      <xdr:row>38</xdr:row>
      <xdr:rowOff>46984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1C889AC-4F2F-4690-A5E6-DB2877108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2950" y="1835339"/>
          <a:ext cx="18171421" cy="510774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pi.box.com/Users/abeccone/APPDATA/LOCAL/TEMP/wz082c/EIM%20Artifacts%20-%20Published/EIM%20-%20Change%20Control%20Log%20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Change Control Log"/>
      <sheetName val="Example"/>
      <sheetName val="Lookups"/>
    </sheetNames>
    <sheetDataSet>
      <sheetData sheetId="0"/>
      <sheetData sheetId="1"/>
      <sheetData sheetId="2"/>
      <sheetData sheetId="3">
        <row r="2">
          <cell r="C2" t="str">
            <v>Immediate</v>
          </cell>
        </row>
        <row r="3">
          <cell r="C3" t="str">
            <v>Near Term</v>
          </cell>
        </row>
        <row r="4">
          <cell r="C4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Ellucian">
  <a:themeElements>
    <a:clrScheme name="Ellucian Vivid 1">
      <a:dk1>
        <a:srgbClr val="000000"/>
      </a:dk1>
      <a:lt1>
        <a:sysClr val="window" lastClr="FFFFFF"/>
      </a:lt1>
      <a:dk2>
        <a:srgbClr val="7D7D7D"/>
      </a:dk2>
      <a:lt2>
        <a:srgbClr val="D9D9D9"/>
      </a:lt2>
      <a:accent1>
        <a:srgbClr val="4B205E"/>
      </a:accent1>
      <a:accent2>
        <a:srgbClr val="A91D65"/>
      </a:accent2>
      <a:accent3>
        <a:srgbClr val="18617E"/>
      </a:accent3>
      <a:accent4>
        <a:srgbClr val="BF442D"/>
      </a:accent4>
      <a:accent5>
        <a:srgbClr val="1B65A6"/>
      </a:accent5>
      <a:accent6>
        <a:srgbClr val="4A6B1A"/>
      </a:accent6>
      <a:hlink>
        <a:srgbClr val="A91D65"/>
      </a:hlink>
      <a:folHlink>
        <a:srgbClr val="A91D65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94"/>
  <sheetViews>
    <sheetView tabSelected="1" zoomScaleNormal="100" workbookViewId="0">
      <pane ySplit="10" topLeftCell="A14" activePane="bottomLeft" state="frozen"/>
      <selection pane="bottomLeft" activeCell="H18" sqref="H18"/>
    </sheetView>
  </sheetViews>
  <sheetFormatPr baseColWidth="10" defaultColWidth="9" defaultRowHeight="11.25"/>
  <cols>
    <col min="1" max="2" width="8.125" style="9" customWidth="1"/>
    <col min="3" max="3" width="8.125" style="46" customWidth="1"/>
    <col min="4" max="4" width="8.125" style="9" customWidth="1"/>
    <col min="5" max="5" width="23.875" style="9" customWidth="1"/>
    <col min="6" max="6" width="40.125" style="10" customWidth="1"/>
    <col min="7" max="7" width="16" style="14" customWidth="1"/>
    <col min="8" max="8" width="24.5" style="14" customWidth="1"/>
    <col min="9" max="9" width="10.625" style="6" customWidth="1"/>
    <col min="10" max="10" width="8.875" style="7" bestFit="1" customWidth="1"/>
    <col min="11" max="14" width="8.875" style="7" customWidth="1"/>
    <col min="15" max="15" width="9" style="7" customWidth="1"/>
    <col min="16" max="16" width="23.125" style="7" customWidth="1"/>
    <col min="17" max="17" width="24.375" style="7" customWidth="1"/>
    <col min="18" max="18" width="10.875" style="4" customWidth="1"/>
    <col min="19" max="19" width="38.625" style="3" customWidth="1"/>
    <col min="20" max="20" width="12.5" style="4" customWidth="1"/>
    <col min="21" max="16384" width="9" style="4"/>
  </cols>
  <sheetData>
    <row r="1" spans="1:19" hidden="1">
      <c r="A1" s="15"/>
      <c r="B1" s="15"/>
      <c r="C1" s="44"/>
      <c r="D1" s="15"/>
      <c r="E1" s="15"/>
      <c r="F1" s="13"/>
      <c r="G1" s="16"/>
      <c r="H1" s="16"/>
      <c r="I1" s="5"/>
      <c r="J1" s="8" t="s">
        <v>0</v>
      </c>
      <c r="K1" s="8"/>
      <c r="L1" s="8"/>
      <c r="M1" s="8"/>
      <c r="N1" s="8"/>
      <c r="O1" s="8"/>
      <c r="P1" s="8" t="s">
        <v>1</v>
      </c>
      <c r="Q1" s="8"/>
      <c r="R1" s="1" t="str">
        <f>F5</f>
        <v>Institución</v>
      </c>
      <c r="S1" s="2"/>
    </row>
    <row r="2" spans="1:19" hidden="1">
      <c r="A2" s="15"/>
      <c r="B2" s="15"/>
      <c r="C2" s="44"/>
      <c r="D2" s="15"/>
      <c r="E2" s="15"/>
      <c r="F2" s="13"/>
      <c r="G2" s="16"/>
      <c r="H2" s="16"/>
      <c r="I2" s="5"/>
      <c r="J2" s="8" t="s">
        <v>2</v>
      </c>
      <c r="K2" s="8"/>
      <c r="L2" s="8"/>
      <c r="M2" s="8"/>
      <c r="N2" s="8"/>
      <c r="O2" s="8"/>
      <c r="P2" s="8" t="s">
        <v>3</v>
      </c>
      <c r="Q2" s="8"/>
      <c r="R2" s="1" t="s">
        <v>4</v>
      </c>
      <c r="S2" s="2"/>
    </row>
    <row r="3" spans="1:19" hidden="1">
      <c r="A3" s="15"/>
      <c r="B3" s="15"/>
      <c r="C3" s="44"/>
      <c r="D3" s="15"/>
      <c r="E3" s="15"/>
      <c r="F3" s="13"/>
      <c r="G3" s="16"/>
      <c r="H3" s="16"/>
      <c r="I3" s="5"/>
      <c r="J3" s="8" t="s">
        <v>5</v>
      </c>
      <c r="K3" s="8"/>
      <c r="L3" s="8"/>
      <c r="M3" s="8"/>
      <c r="N3" s="8"/>
      <c r="O3" s="8"/>
      <c r="P3" s="8" t="s">
        <v>6</v>
      </c>
      <c r="Q3" s="8"/>
      <c r="R3" s="1"/>
      <c r="S3" s="2"/>
    </row>
    <row r="4" spans="1:19" hidden="1">
      <c r="A4" s="27"/>
      <c r="B4" s="27"/>
      <c r="C4" s="45"/>
      <c r="D4" s="27"/>
      <c r="E4" s="27"/>
      <c r="F4" s="28"/>
      <c r="G4" s="29"/>
      <c r="H4" s="29"/>
      <c r="I4" s="30"/>
      <c r="J4" s="31"/>
      <c r="K4" s="31"/>
      <c r="L4" s="31"/>
      <c r="M4" s="31"/>
      <c r="N4" s="31"/>
      <c r="O4" s="31"/>
      <c r="P4" s="31" t="s">
        <v>7</v>
      </c>
      <c r="Q4" s="31"/>
      <c r="R4" s="32"/>
      <c r="S4" s="33"/>
    </row>
    <row r="5" spans="1:19" ht="12.75">
      <c r="E5" s="49" t="s">
        <v>8</v>
      </c>
      <c r="F5" s="34" t="s">
        <v>32</v>
      </c>
      <c r="I5" s="35" t="s">
        <v>9</v>
      </c>
      <c r="J5" s="36">
        <f>COUNTIF($J$11:$J$37,"Pendiente")</f>
        <v>16</v>
      </c>
      <c r="K5" s="37"/>
    </row>
    <row r="6" spans="1:19" ht="12.75">
      <c r="E6" s="49" t="s">
        <v>10</v>
      </c>
      <c r="F6" s="34" t="s">
        <v>11</v>
      </c>
      <c r="I6" s="38" t="s">
        <v>12</v>
      </c>
      <c r="J6" s="39">
        <f>COUNTIF($J$11:$J$37,"Exitoso")</f>
        <v>1</v>
      </c>
      <c r="K6" s="37"/>
    </row>
    <row r="7" spans="1:19" ht="12.75">
      <c r="E7" s="49" t="s">
        <v>37</v>
      </c>
      <c r="F7" s="47" t="s">
        <v>35</v>
      </c>
      <c r="I7" s="40" t="s">
        <v>5</v>
      </c>
      <c r="J7" s="41">
        <f>COUNTIF($J$11:$J$37,"Con Error")</f>
        <v>0</v>
      </c>
      <c r="K7" s="37"/>
    </row>
    <row r="8" spans="1:19" ht="43.35" customHeight="1">
      <c r="E8" s="49" t="s">
        <v>75</v>
      </c>
      <c r="F8" s="63" t="s">
        <v>33</v>
      </c>
      <c r="G8" s="64"/>
      <c r="H8" s="65"/>
      <c r="I8" s="42"/>
      <c r="J8" s="37"/>
      <c r="K8" s="37"/>
    </row>
    <row r="9" spans="1:19">
      <c r="E9" s="43"/>
      <c r="F9" s="34"/>
      <c r="I9" s="42"/>
      <c r="J9" s="26"/>
      <c r="K9" s="26"/>
    </row>
    <row r="10" spans="1:19" ht="45">
      <c r="A10" s="50" t="s">
        <v>13</v>
      </c>
      <c r="B10" s="50" t="s">
        <v>14</v>
      </c>
      <c r="C10" s="50" t="s">
        <v>15</v>
      </c>
      <c r="D10" s="50" t="s">
        <v>16</v>
      </c>
      <c r="E10" s="50" t="s">
        <v>37</v>
      </c>
      <c r="F10" s="50" t="s">
        <v>17</v>
      </c>
      <c r="G10" s="50" t="s">
        <v>18</v>
      </c>
      <c r="H10" s="50" t="s">
        <v>19</v>
      </c>
      <c r="I10" s="50" t="str">
        <f>"Responsable " &amp; F5</f>
        <v>Responsable Institución</v>
      </c>
      <c r="J10" s="50" t="str">
        <f>"Estado " &amp; F5</f>
        <v>Estado Institución</v>
      </c>
      <c r="K10" s="50" t="str">
        <f>"Resp. Técnico " &amp; F5</f>
        <v>Resp. Técnico Institución</v>
      </c>
      <c r="L10" s="50" t="s">
        <v>20</v>
      </c>
      <c r="M10" s="50" t="s">
        <v>21</v>
      </c>
      <c r="N10" s="50" t="s">
        <v>76</v>
      </c>
      <c r="O10" s="50" t="s">
        <v>22</v>
      </c>
      <c r="P10" s="50" t="s">
        <v>23</v>
      </c>
      <c r="Q10" s="50" t="s">
        <v>24</v>
      </c>
      <c r="R10" s="50" t="s">
        <v>25</v>
      </c>
      <c r="S10" s="50" t="s">
        <v>26</v>
      </c>
    </row>
    <row r="11" spans="1:19" ht="56.25">
      <c r="A11" s="55">
        <v>1</v>
      </c>
      <c r="B11" s="23"/>
      <c r="C11" s="54">
        <v>10</v>
      </c>
      <c r="D11" s="56"/>
      <c r="E11" s="57" t="s">
        <v>35</v>
      </c>
      <c r="F11" s="51" t="s">
        <v>38</v>
      </c>
      <c r="G11" s="58"/>
      <c r="H11" s="53" t="s">
        <v>43</v>
      </c>
      <c r="I11" s="5" t="s">
        <v>80</v>
      </c>
      <c r="J11" s="19" t="s">
        <v>0</v>
      </c>
      <c r="K11" s="19"/>
      <c r="L11" s="24"/>
      <c r="M11" s="24"/>
      <c r="N11" s="24"/>
      <c r="O11" s="22"/>
      <c r="P11" s="12"/>
      <c r="Q11" s="18"/>
      <c r="R11" s="19"/>
      <c r="S11" s="16"/>
    </row>
    <row r="12" spans="1:19" ht="33.75">
      <c r="A12" s="55">
        <v>2</v>
      </c>
      <c r="B12" s="23"/>
      <c r="C12" s="54">
        <v>10</v>
      </c>
      <c r="D12" s="56"/>
      <c r="E12" s="57" t="s">
        <v>35</v>
      </c>
      <c r="F12" s="51" t="s">
        <v>39</v>
      </c>
      <c r="G12" s="52" t="s">
        <v>40</v>
      </c>
      <c r="H12" s="53" t="s">
        <v>41</v>
      </c>
      <c r="I12" s="17" t="s">
        <v>79</v>
      </c>
      <c r="J12" s="19" t="s">
        <v>0</v>
      </c>
      <c r="K12" s="19"/>
      <c r="L12" s="24"/>
      <c r="M12" s="24"/>
      <c r="N12" s="24"/>
      <c r="O12" s="22"/>
      <c r="P12" s="12"/>
      <c r="Q12" s="18"/>
      <c r="R12" s="19"/>
      <c r="S12" s="11"/>
    </row>
    <row r="13" spans="1:19" ht="22.5">
      <c r="A13" s="55">
        <v>3</v>
      </c>
      <c r="B13" s="23"/>
      <c r="C13" s="54">
        <v>30</v>
      </c>
      <c r="D13" s="56"/>
      <c r="E13" s="57" t="s">
        <v>35</v>
      </c>
      <c r="F13" s="51" t="s">
        <v>44</v>
      </c>
      <c r="G13" s="52" t="s">
        <v>42</v>
      </c>
      <c r="H13" s="53" t="s">
        <v>34</v>
      </c>
      <c r="I13" s="17" t="s">
        <v>79</v>
      </c>
      <c r="J13" s="19" t="s">
        <v>0</v>
      </c>
      <c r="K13" s="19"/>
      <c r="L13" s="24"/>
      <c r="M13" s="24"/>
      <c r="N13" s="24"/>
      <c r="O13" s="22"/>
      <c r="P13" s="12"/>
      <c r="Q13" s="18"/>
      <c r="R13" s="19"/>
      <c r="S13" s="11"/>
    </row>
    <row r="14" spans="1:19" ht="22.5">
      <c r="A14" s="55">
        <v>4</v>
      </c>
      <c r="B14" s="23"/>
      <c r="C14" s="54">
        <v>40</v>
      </c>
      <c r="D14" s="56"/>
      <c r="E14" s="57" t="s">
        <v>35</v>
      </c>
      <c r="F14" s="51" t="s">
        <v>46</v>
      </c>
      <c r="G14" s="52" t="s">
        <v>45</v>
      </c>
      <c r="H14" s="53" t="s">
        <v>36</v>
      </c>
      <c r="I14" s="17" t="s">
        <v>79</v>
      </c>
      <c r="J14" s="19" t="s">
        <v>0</v>
      </c>
      <c r="K14" s="19"/>
      <c r="L14" s="24"/>
      <c r="M14" s="24"/>
      <c r="N14" s="24"/>
      <c r="O14" s="22"/>
      <c r="P14" s="12"/>
      <c r="Q14" s="18"/>
      <c r="R14" s="19"/>
      <c r="S14" s="11"/>
    </row>
    <row r="15" spans="1:19" ht="22.5">
      <c r="A15" s="55">
        <v>5</v>
      </c>
      <c r="B15" s="23"/>
      <c r="C15" s="54">
        <v>10</v>
      </c>
      <c r="D15" s="56"/>
      <c r="E15" s="57" t="s">
        <v>35</v>
      </c>
      <c r="F15" s="51" t="s">
        <v>47</v>
      </c>
      <c r="G15" s="52" t="s">
        <v>42</v>
      </c>
      <c r="H15" s="53" t="s">
        <v>48</v>
      </c>
      <c r="I15" s="17" t="s">
        <v>79</v>
      </c>
      <c r="J15" s="19" t="s">
        <v>0</v>
      </c>
      <c r="K15" s="19"/>
      <c r="L15" s="24"/>
      <c r="M15" s="24"/>
      <c r="N15" s="24"/>
      <c r="O15" s="22"/>
      <c r="P15" s="12"/>
      <c r="Q15" s="18"/>
      <c r="R15" s="19"/>
      <c r="S15" s="11"/>
    </row>
    <row r="16" spans="1:19" ht="22.5">
      <c r="A16" s="55">
        <v>6</v>
      </c>
      <c r="B16" s="23"/>
      <c r="C16" s="54">
        <v>10</v>
      </c>
      <c r="D16" s="56"/>
      <c r="E16" s="57" t="s">
        <v>35</v>
      </c>
      <c r="F16" s="51" t="s">
        <v>49</v>
      </c>
      <c r="G16" s="52" t="s">
        <v>50</v>
      </c>
      <c r="H16" s="53" t="s">
        <v>51</v>
      </c>
      <c r="I16" s="17" t="s">
        <v>79</v>
      </c>
      <c r="J16" s="19" t="s">
        <v>0</v>
      </c>
      <c r="K16" s="19"/>
      <c r="L16" s="24"/>
      <c r="M16" s="24"/>
      <c r="N16" s="24"/>
      <c r="O16" s="22"/>
      <c r="P16" s="12"/>
      <c r="Q16" s="18"/>
      <c r="R16" s="19"/>
      <c r="S16" s="11"/>
    </row>
    <row r="17" spans="1:19" ht="22.5">
      <c r="A17" s="55">
        <v>7</v>
      </c>
      <c r="B17" s="23"/>
      <c r="C17" s="54">
        <v>10</v>
      </c>
      <c r="D17" s="56"/>
      <c r="E17" s="57" t="s">
        <v>35</v>
      </c>
      <c r="F17" s="51" t="s">
        <v>52</v>
      </c>
      <c r="G17" s="52" t="s">
        <v>50</v>
      </c>
      <c r="H17" s="53" t="s">
        <v>53</v>
      </c>
      <c r="I17" s="17" t="s">
        <v>79</v>
      </c>
      <c r="J17" s="19" t="s">
        <v>0</v>
      </c>
      <c r="K17" s="19"/>
      <c r="L17" s="24"/>
      <c r="M17" s="24"/>
      <c r="N17" s="24"/>
      <c r="O17" s="22"/>
      <c r="P17" s="12"/>
      <c r="Q17" s="18"/>
      <c r="R17" s="19"/>
      <c r="S17" s="11"/>
    </row>
    <row r="18" spans="1:19" ht="22.5">
      <c r="A18" s="55">
        <v>8</v>
      </c>
      <c r="B18" s="23"/>
      <c r="C18" s="54">
        <v>10</v>
      </c>
      <c r="D18" s="56"/>
      <c r="E18" s="57" t="s">
        <v>35</v>
      </c>
      <c r="F18" s="51" t="s">
        <v>78</v>
      </c>
      <c r="G18" s="52" t="s">
        <v>63</v>
      </c>
      <c r="H18" s="53" t="s">
        <v>54</v>
      </c>
      <c r="I18" s="17" t="s">
        <v>79</v>
      </c>
      <c r="J18" s="19" t="s">
        <v>2</v>
      </c>
      <c r="K18" s="19"/>
      <c r="L18" s="24"/>
      <c r="M18" s="24"/>
      <c r="N18" s="24"/>
      <c r="O18" s="22"/>
      <c r="P18" s="12"/>
      <c r="Q18" s="18"/>
      <c r="R18" s="19"/>
      <c r="S18" s="11"/>
    </row>
    <row r="19" spans="1:19" ht="22.5">
      <c r="A19" s="55">
        <v>9</v>
      </c>
      <c r="B19" s="23"/>
      <c r="C19" s="54">
        <v>10</v>
      </c>
      <c r="D19" s="56"/>
      <c r="E19" s="57" t="s">
        <v>35</v>
      </c>
      <c r="F19" s="51" t="s">
        <v>55</v>
      </c>
      <c r="G19" s="52" t="s">
        <v>56</v>
      </c>
      <c r="H19" s="53" t="s">
        <v>57</v>
      </c>
      <c r="I19" s="5" t="s">
        <v>80</v>
      </c>
      <c r="J19" s="19" t="s">
        <v>0</v>
      </c>
      <c r="K19" s="19"/>
      <c r="L19" s="24"/>
      <c r="M19" s="24"/>
      <c r="N19" s="24"/>
      <c r="O19" s="22"/>
      <c r="P19" s="12"/>
      <c r="Q19" s="18"/>
      <c r="R19" s="19"/>
      <c r="S19" s="11"/>
    </row>
    <row r="20" spans="1:19" ht="22.5">
      <c r="A20" s="55">
        <v>10</v>
      </c>
      <c r="B20" s="23"/>
      <c r="C20" s="54">
        <v>10</v>
      </c>
      <c r="D20" s="56"/>
      <c r="E20" s="57" t="s">
        <v>35</v>
      </c>
      <c r="F20" s="51" t="s">
        <v>58</v>
      </c>
      <c r="G20" s="52" t="s">
        <v>59</v>
      </c>
      <c r="H20" s="53" t="s">
        <v>60</v>
      </c>
      <c r="I20" s="17" t="s">
        <v>81</v>
      </c>
      <c r="J20" s="19" t="s">
        <v>0</v>
      </c>
      <c r="K20" s="19"/>
      <c r="L20" s="24"/>
      <c r="M20" s="24"/>
      <c r="N20" s="24"/>
      <c r="O20" s="22"/>
      <c r="P20" s="12"/>
      <c r="Q20" s="18"/>
      <c r="R20" s="19"/>
      <c r="S20" s="11"/>
    </row>
    <row r="21" spans="1:19" ht="22.5">
      <c r="A21" s="55">
        <v>11</v>
      </c>
      <c r="B21" s="23"/>
      <c r="C21" s="54">
        <v>10</v>
      </c>
      <c r="D21" s="56"/>
      <c r="E21" s="57" t="s">
        <v>35</v>
      </c>
      <c r="F21" s="51" t="s">
        <v>65</v>
      </c>
      <c r="G21" s="52" t="s">
        <v>66</v>
      </c>
      <c r="H21" s="53" t="s">
        <v>73</v>
      </c>
      <c r="I21" s="5" t="s">
        <v>80</v>
      </c>
      <c r="J21" s="19" t="s">
        <v>0</v>
      </c>
      <c r="K21" s="19"/>
      <c r="L21" s="24"/>
      <c r="M21" s="24"/>
      <c r="N21" s="24"/>
      <c r="O21" s="22"/>
      <c r="P21" s="12"/>
      <c r="Q21" s="18"/>
      <c r="R21" s="19"/>
      <c r="S21" s="11"/>
    </row>
    <row r="22" spans="1:19" ht="22.5">
      <c r="A22" s="55">
        <v>12</v>
      </c>
      <c r="B22" s="23"/>
      <c r="C22" s="54">
        <v>10</v>
      </c>
      <c r="D22" s="56"/>
      <c r="E22" s="57" t="s">
        <v>35</v>
      </c>
      <c r="F22" s="51" t="s">
        <v>74</v>
      </c>
      <c r="G22" s="52" t="s">
        <v>61</v>
      </c>
      <c r="H22" s="53" t="s">
        <v>62</v>
      </c>
      <c r="I22" s="17" t="s">
        <v>82</v>
      </c>
      <c r="J22" s="19" t="s">
        <v>0</v>
      </c>
      <c r="K22" s="19"/>
      <c r="L22" s="24"/>
      <c r="M22" s="24"/>
      <c r="N22" s="24"/>
      <c r="O22" s="22"/>
      <c r="P22" s="12"/>
      <c r="Q22" s="18"/>
      <c r="R22" s="19"/>
      <c r="S22" s="11"/>
    </row>
    <row r="23" spans="1:19" ht="22.5">
      <c r="A23" s="55">
        <v>13</v>
      </c>
      <c r="B23" s="23"/>
      <c r="C23" s="54">
        <v>10</v>
      </c>
      <c r="D23" s="56"/>
      <c r="E23" s="57" t="s">
        <v>35</v>
      </c>
      <c r="F23" s="51" t="s">
        <v>67</v>
      </c>
      <c r="G23" s="52" t="s">
        <v>59</v>
      </c>
      <c r="H23" s="53" t="s">
        <v>64</v>
      </c>
      <c r="I23" s="17" t="s">
        <v>81</v>
      </c>
      <c r="J23" s="19" t="s">
        <v>0</v>
      </c>
      <c r="K23" s="19"/>
      <c r="L23" s="24"/>
      <c r="M23" s="24"/>
      <c r="N23" s="24"/>
      <c r="O23" s="22"/>
      <c r="P23" s="12"/>
      <c r="Q23" s="18"/>
      <c r="R23" s="19"/>
      <c r="S23" s="11"/>
    </row>
    <row r="24" spans="1:19" ht="22.5">
      <c r="A24" s="55">
        <v>14</v>
      </c>
      <c r="B24" s="23"/>
      <c r="C24" s="54">
        <v>10</v>
      </c>
      <c r="D24" s="56"/>
      <c r="E24" s="57" t="s">
        <v>35</v>
      </c>
      <c r="F24" s="51" t="s">
        <v>68</v>
      </c>
      <c r="G24" s="52" t="s">
        <v>61</v>
      </c>
      <c r="H24" s="53" t="s">
        <v>69</v>
      </c>
      <c r="I24" s="17" t="s">
        <v>83</v>
      </c>
      <c r="J24" s="19" t="s">
        <v>0</v>
      </c>
      <c r="K24" s="19"/>
      <c r="L24" s="24"/>
      <c r="M24" s="24"/>
      <c r="N24" s="24"/>
      <c r="O24" s="22"/>
      <c r="P24" s="12"/>
      <c r="Q24" s="18"/>
      <c r="R24" s="19"/>
      <c r="S24" s="11"/>
    </row>
    <row r="25" spans="1:19" ht="22.5">
      <c r="A25" s="55">
        <v>15</v>
      </c>
      <c r="B25" s="23"/>
      <c r="C25" s="54">
        <v>10</v>
      </c>
      <c r="D25" s="56"/>
      <c r="E25" s="57" t="s">
        <v>35</v>
      </c>
      <c r="F25" s="51" t="s">
        <v>77</v>
      </c>
      <c r="G25" s="52" t="s">
        <v>61</v>
      </c>
      <c r="H25" s="53"/>
      <c r="I25" s="17" t="s">
        <v>81</v>
      </c>
      <c r="J25" s="19" t="s">
        <v>0</v>
      </c>
      <c r="K25" s="19"/>
      <c r="L25" s="24"/>
      <c r="M25" s="24"/>
      <c r="N25" s="24"/>
      <c r="O25" s="22"/>
      <c r="P25" s="12"/>
      <c r="Q25" s="18"/>
      <c r="R25" s="19"/>
      <c r="S25" s="11"/>
    </row>
    <row r="26" spans="1:19" ht="22.5">
      <c r="A26" s="55">
        <v>16</v>
      </c>
      <c r="B26" s="23"/>
      <c r="C26" s="54">
        <v>10</v>
      </c>
      <c r="D26" s="56"/>
      <c r="E26" s="57" t="s">
        <v>35</v>
      </c>
      <c r="F26" s="51" t="s">
        <v>70</v>
      </c>
      <c r="G26" s="52" t="s">
        <v>63</v>
      </c>
      <c r="H26" s="53" t="s">
        <v>64</v>
      </c>
      <c r="I26" s="17" t="s">
        <v>81</v>
      </c>
      <c r="J26" s="19" t="s">
        <v>0</v>
      </c>
      <c r="K26" s="19"/>
      <c r="L26" s="24"/>
      <c r="M26" s="24"/>
      <c r="N26" s="24"/>
      <c r="O26" s="22"/>
      <c r="P26" s="12"/>
      <c r="Q26" s="18"/>
      <c r="R26" s="19"/>
      <c r="S26" s="11"/>
    </row>
    <row r="27" spans="1:19" ht="22.5">
      <c r="A27" s="55">
        <v>17</v>
      </c>
      <c r="B27" s="23"/>
      <c r="C27" s="54">
        <v>10</v>
      </c>
      <c r="D27" s="56"/>
      <c r="E27" s="57" t="s">
        <v>35</v>
      </c>
      <c r="F27" s="51" t="s">
        <v>71</v>
      </c>
      <c r="G27" s="52" t="s">
        <v>72</v>
      </c>
      <c r="H27" s="53"/>
      <c r="I27" s="17" t="s">
        <v>83</v>
      </c>
      <c r="J27" s="19" t="s">
        <v>0</v>
      </c>
      <c r="K27" s="19"/>
      <c r="L27" s="24"/>
      <c r="M27" s="24"/>
      <c r="N27" s="24"/>
      <c r="O27" s="22"/>
      <c r="P27" s="12"/>
      <c r="Q27" s="18"/>
      <c r="R27" s="19"/>
      <c r="S27" s="11"/>
    </row>
    <row r="28" spans="1:19" ht="22.5">
      <c r="A28" s="55">
        <v>18</v>
      </c>
      <c r="B28" s="23"/>
      <c r="C28" s="54">
        <v>10</v>
      </c>
      <c r="D28" s="56"/>
      <c r="E28" s="57" t="s">
        <v>35</v>
      </c>
      <c r="F28" s="51"/>
      <c r="G28" s="52"/>
      <c r="H28" s="53"/>
      <c r="I28" s="17"/>
      <c r="J28" s="19"/>
      <c r="K28" s="19"/>
      <c r="L28" s="24"/>
      <c r="M28" s="24"/>
      <c r="N28" s="24"/>
      <c r="O28" s="22"/>
      <c r="P28" s="12"/>
      <c r="Q28" s="18"/>
      <c r="R28" s="19"/>
      <c r="S28" s="11"/>
    </row>
    <row r="29" spans="1:19" ht="14.25">
      <c r="A29" s="55">
        <v>19</v>
      </c>
      <c r="B29" s="23"/>
      <c r="C29" s="54">
        <v>10</v>
      </c>
      <c r="D29" s="56"/>
      <c r="E29" s="57"/>
      <c r="F29" s="51"/>
      <c r="G29" s="52"/>
      <c r="H29" s="53"/>
      <c r="I29" s="17"/>
      <c r="J29" s="19"/>
      <c r="K29" s="19"/>
      <c r="L29" s="24"/>
      <c r="M29" s="24"/>
      <c r="N29" s="24"/>
      <c r="O29" s="22"/>
      <c r="P29" s="12"/>
      <c r="Q29" s="18"/>
      <c r="R29" s="19"/>
      <c r="S29" s="11"/>
    </row>
    <row r="30" spans="1:19" ht="14.25">
      <c r="A30" s="55">
        <v>20</v>
      </c>
      <c r="B30" s="23"/>
      <c r="C30" s="54">
        <v>10</v>
      </c>
      <c r="D30" s="56"/>
      <c r="E30" s="57"/>
      <c r="F30" s="51"/>
      <c r="G30" s="52"/>
      <c r="H30" s="53"/>
      <c r="I30" s="17"/>
      <c r="J30" s="19"/>
      <c r="K30" s="19"/>
      <c r="L30" s="24"/>
      <c r="M30" s="24"/>
      <c r="N30" s="24"/>
      <c r="O30" s="22"/>
      <c r="P30" s="12"/>
      <c r="Q30" s="18"/>
      <c r="R30" s="19"/>
      <c r="S30" s="11"/>
    </row>
    <row r="31" spans="1:19" ht="14.25">
      <c r="A31" s="55">
        <v>21</v>
      </c>
      <c r="B31" s="23"/>
      <c r="C31" s="54">
        <v>10</v>
      </c>
      <c r="D31" s="56"/>
      <c r="E31" s="57"/>
      <c r="F31" s="51"/>
      <c r="G31" s="52"/>
      <c r="H31" s="53"/>
      <c r="I31" s="17"/>
      <c r="J31" s="19"/>
      <c r="K31" s="19"/>
      <c r="L31" s="24"/>
      <c r="M31" s="24"/>
      <c r="N31" s="24"/>
      <c r="O31" s="22"/>
      <c r="P31" s="12"/>
      <c r="Q31" s="18"/>
      <c r="R31" s="19"/>
      <c r="S31" s="11"/>
    </row>
    <row r="32" spans="1:19" ht="14.25">
      <c r="A32" s="55">
        <v>22</v>
      </c>
      <c r="B32" s="23"/>
      <c r="C32" s="54">
        <v>10</v>
      </c>
      <c r="D32" s="56"/>
      <c r="E32" s="57"/>
      <c r="F32" s="51"/>
      <c r="G32" s="52"/>
      <c r="H32" s="53"/>
      <c r="I32" s="17"/>
      <c r="J32" s="19"/>
      <c r="K32" s="19"/>
      <c r="L32" s="24"/>
      <c r="M32" s="24"/>
      <c r="N32" s="24"/>
      <c r="O32" s="22"/>
      <c r="P32" s="12"/>
      <c r="Q32" s="18"/>
      <c r="R32" s="19"/>
      <c r="S32" s="11"/>
    </row>
    <row r="33" spans="1:19" ht="14.25">
      <c r="A33" s="55">
        <v>23</v>
      </c>
      <c r="B33" s="23"/>
      <c r="C33" s="54">
        <v>10</v>
      </c>
      <c r="D33" s="56"/>
      <c r="E33" s="57"/>
      <c r="F33" s="51"/>
      <c r="G33" s="52"/>
      <c r="H33" s="53"/>
      <c r="I33" s="17"/>
      <c r="J33" s="19"/>
      <c r="K33" s="19"/>
      <c r="L33" s="24"/>
      <c r="M33" s="24"/>
      <c r="N33" s="24"/>
      <c r="O33" s="22"/>
      <c r="P33" s="12"/>
      <c r="Q33" s="18"/>
      <c r="R33" s="19"/>
      <c r="S33" s="11"/>
    </row>
    <row r="34" spans="1:19" ht="14.25">
      <c r="A34" s="55">
        <v>24</v>
      </c>
      <c r="B34" s="23"/>
      <c r="C34" s="54">
        <v>10</v>
      </c>
      <c r="D34" s="56"/>
      <c r="E34" s="57"/>
      <c r="F34" s="51"/>
      <c r="G34" s="52"/>
      <c r="H34" s="53"/>
      <c r="I34" s="17"/>
      <c r="J34" s="19"/>
      <c r="K34" s="19"/>
      <c r="L34" s="24"/>
      <c r="M34" s="24"/>
      <c r="N34" s="24"/>
      <c r="O34" s="22"/>
      <c r="P34" s="12"/>
      <c r="Q34" s="18"/>
      <c r="R34" s="19"/>
      <c r="S34" s="11"/>
    </row>
    <row r="35" spans="1:19" ht="14.25">
      <c r="A35" s="55">
        <v>25</v>
      </c>
      <c r="B35" s="23"/>
      <c r="C35" s="54">
        <v>10</v>
      </c>
      <c r="D35" s="56"/>
      <c r="E35" s="57"/>
      <c r="F35" s="51"/>
      <c r="G35" s="52"/>
      <c r="H35" s="53"/>
      <c r="I35" s="17"/>
      <c r="J35" s="19"/>
      <c r="K35" s="19"/>
      <c r="L35" s="24"/>
      <c r="M35" s="24"/>
      <c r="N35" s="24"/>
      <c r="O35" s="22"/>
      <c r="P35" s="12"/>
      <c r="Q35" s="18"/>
      <c r="R35" s="19"/>
      <c r="S35" s="11"/>
    </row>
    <row r="36" spans="1:19" ht="14.25">
      <c r="A36" s="55">
        <v>26</v>
      </c>
      <c r="B36" s="23"/>
      <c r="C36" s="54">
        <v>10</v>
      </c>
      <c r="D36" s="56"/>
      <c r="E36" s="57"/>
      <c r="F36" s="51"/>
      <c r="G36" s="52"/>
      <c r="H36" s="53"/>
      <c r="I36" s="17"/>
      <c r="J36" s="19"/>
      <c r="K36" s="19"/>
      <c r="L36" s="24"/>
      <c r="M36" s="24"/>
      <c r="N36" s="24"/>
      <c r="O36" s="22"/>
      <c r="P36" s="12"/>
      <c r="Q36" s="18"/>
      <c r="R36" s="19"/>
      <c r="S36" s="11"/>
    </row>
    <row r="37" spans="1:19" ht="14.25">
      <c r="A37" s="55">
        <v>27</v>
      </c>
      <c r="B37" s="23"/>
      <c r="C37" s="54">
        <v>10</v>
      </c>
      <c r="D37" s="56"/>
      <c r="E37" s="57"/>
      <c r="F37" s="51"/>
      <c r="G37" s="52"/>
      <c r="H37" s="53"/>
      <c r="I37" s="17"/>
      <c r="J37" s="19"/>
      <c r="K37" s="19"/>
      <c r="L37" s="24"/>
      <c r="M37" s="24"/>
      <c r="N37" s="24"/>
      <c r="O37" s="22"/>
      <c r="P37" s="12"/>
      <c r="Q37" s="18"/>
      <c r="R37" s="19"/>
      <c r="S37" s="11"/>
    </row>
    <row r="38" spans="1:19" ht="14.25">
      <c r="A38" s="55">
        <v>28</v>
      </c>
      <c r="B38" s="23"/>
      <c r="C38" s="54">
        <v>10</v>
      </c>
      <c r="D38" s="56"/>
      <c r="E38" s="57"/>
      <c r="F38" s="51"/>
      <c r="G38" s="52"/>
      <c r="H38" s="53"/>
      <c r="I38" s="17"/>
      <c r="J38" s="19"/>
      <c r="K38" s="19"/>
      <c r="L38" s="24"/>
      <c r="M38" s="24"/>
      <c r="N38" s="24"/>
      <c r="O38" s="22"/>
      <c r="P38" s="12"/>
      <c r="Q38" s="18"/>
      <c r="R38" s="19"/>
      <c r="S38" s="11"/>
    </row>
    <row r="39" spans="1:19" ht="14.25">
      <c r="A39" s="55">
        <v>29</v>
      </c>
      <c r="B39" s="23"/>
      <c r="C39" s="54">
        <v>10</v>
      </c>
      <c r="D39" s="56"/>
      <c r="E39" s="57"/>
      <c r="F39" s="51"/>
      <c r="G39" s="52"/>
      <c r="H39" s="53"/>
      <c r="I39" s="17"/>
      <c r="J39" s="19"/>
      <c r="K39" s="19"/>
      <c r="L39" s="24"/>
      <c r="M39" s="24"/>
      <c r="N39" s="24"/>
      <c r="O39" s="22"/>
      <c r="P39" s="12"/>
      <c r="Q39" s="18"/>
      <c r="R39" s="19"/>
      <c r="S39" s="11"/>
    </row>
    <row r="40" spans="1:19" ht="14.25">
      <c r="A40" s="55">
        <v>30</v>
      </c>
      <c r="B40" s="23"/>
      <c r="C40" s="54">
        <v>10</v>
      </c>
      <c r="D40" s="56"/>
      <c r="E40" s="57"/>
      <c r="F40" s="51"/>
      <c r="G40" s="52"/>
      <c r="H40" s="53"/>
      <c r="I40" s="17"/>
      <c r="J40" s="19"/>
      <c r="K40" s="19"/>
      <c r="L40" s="24"/>
      <c r="M40" s="24"/>
      <c r="N40" s="24"/>
      <c r="O40" s="22"/>
      <c r="P40" s="12"/>
      <c r="Q40" s="18"/>
      <c r="R40" s="19"/>
      <c r="S40" s="11"/>
    </row>
    <row r="41" spans="1:19" ht="14.25">
      <c r="A41" s="55">
        <v>31</v>
      </c>
      <c r="B41" s="23"/>
      <c r="C41" s="54">
        <v>10</v>
      </c>
      <c r="D41" s="56"/>
      <c r="E41" s="57"/>
      <c r="F41" s="51"/>
      <c r="G41" s="52"/>
      <c r="H41" s="53"/>
      <c r="I41" s="17"/>
      <c r="J41" s="19"/>
      <c r="K41" s="19"/>
      <c r="L41" s="24"/>
      <c r="M41" s="24"/>
      <c r="N41" s="24"/>
      <c r="O41" s="22"/>
      <c r="P41" s="12"/>
      <c r="Q41" s="18"/>
      <c r="R41" s="19"/>
      <c r="S41" s="11"/>
    </row>
    <row r="42" spans="1:19" ht="14.25">
      <c r="A42" s="55">
        <v>32</v>
      </c>
      <c r="B42" s="23"/>
      <c r="C42" s="54">
        <v>10</v>
      </c>
      <c r="D42" s="56"/>
      <c r="E42" s="57"/>
      <c r="F42" s="51"/>
      <c r="G42" s="52"/>
      <c r="H42" s="53"/>
      <c r="I42" s="17"/>
      <c r="J42" s="19"/>
      <c r="K42" s="19"/>
      <c r="L42" s="24"/>
      <c r="M42" s="24"/>
      <c r="N42" s="24"/>
      <c r="O42" s="22"/>
      <c r="P42" s="12"/>
      <c r="Q42" s="18"/>
      <c r="R42" s="19"/>
      <c r="S42" s="11"/>
    </row>
    <row r="43" spans="1:19" ht="14.25">
      <c r="A43" s="55">
        <v>33</v>
      </c>
      <c r="B43" s="23"/>
      <c r="C43" s="54">
        <v>10</v>
      </c>
      <c r="D43" s="56"/>
      <c r="E43" s="57"/>
      <c r="F43" s="51"/>
      <c r="G43" s="52"/>
      <c r="H43" s="53"/>
      <c r="I43" s="17"/>
      <c r="J43" s="19"/>
      <c r="K43" s="19"/>
      <c r="L43" s="24"/>
      <c r="M43" s="24"/>
      <c r="N43" s="24"/>
      <c r="O43" s="22"/>
      <c r="P43" s="12"/>
      <c r="Q43" s="18"/>
      <c r="R43" s="19"/>
      <c r="S43" s="11"/>
    </row>
    <row r="44" spans="1:19" ht="14.25">
      <c r="A44" s="55">
        <v>34</v>
      </c>
      <c r="B44" s="23"/>
      <c r="C44" s="54">
        <v>10</v>
      </c>
      <c r="D44" s="56"/>
      <c r="E44" s="57"/>
      <c r="F44" s="51"/>
      <c r="G44" s="52"/>
      <c r="H44" s="53"/>
      <c r="I44" s="17"/>
      <c r="J44" s="19"/>
      <c r="K44" s="19"/>
      <c r="L44" s="24"/>
      <c r="M44" s="24"/>
      <c r="N44" s="24"/>
      <c r="O44" s="22"/>
      <c r="P44" s="12"/>
      <c r="Q44" s="18"/>
      <c r="R44" s="19"/>
      <c r="S44" s="11"/>
    </row>
    <row r="45" spans="1:19" ht="14.25">
      <c r="A45" s="55">
        <v>35</v>
      </c>
      <c r="B45" s="23"/>
      <c r="C45" s="54">
        <v>10</v>
      </c>
      <c r="D45" s="56"/>
      <c r="E45" s="57"/>
      <c r="F45" s="51"/>
      <c r="G45" s="52"/>
      <c r="H45" s="53"/>
      <c r="I45" s="17"/>
      <c r="J45" s="19"/>
      <c r="K45" s="19"/>
      <c r="L45" s="24"/>
      <c r="M45" s="24"/>
      <c r="N45" s="24"/>
      <c r="O45" s="22"/>
      <c r="P45" s="12"/>
      <c r="Q45" s="18"/>
      <c r="R45" s="19"/>
      <c r="S45" s="11"/>
    </row>
    <row r="46" spans="1:19" ht="14.25">
      <c r="A46" s="55">
        <v>36</v>
      </c>
      <c r="B46" s="23"/>
      <c r="C46" s="54">
        <v>10</v>
      </c>
      <c r="D46" s="56"/>
      <c r="E46" s="57"/>
      <c r="F46" s="51"/>
      <c r="G46" s="52"/>
      <c r="H46" s="53"/>
      <c r="I46" s="17"/>
      <c r="J46" s="19"/>
      <c r="K46" s="19"/>
      <c r="L46" s="24"/>
      <c r="M46" s="24"/>
      <c r="N46" s="24"/>
      <c r="O46" s="22"/>
      <c r="P46" s="12"/>
      <c r="Q46" s="18"/>
      <c r="R46" s="19"/>
      <c r="S46" s="11"/>
    </row>
    <row r="47" spans="1:19" ht="14.25">
      <c r="A47" s="55">
        <v>37</v>
      </c>
      <c r="B47" s="23"/>
      <c r="C47" s="54">
        <v>10</v>
      </c>
      <c r="D47" s="56"/>
      <c r="E47" s="57"/>
      <c r="F47" s="51"/>
      <c r="G47" s="52"/>
      <c r="H47" s="53"/>
      <c r="I47" s="17"/>
      <c r="J47" s="19"/>
      <c r="K47" s="19"/>
      <c r="L47" s="24"/>
      <c r="M47" s="24"/>
      <c r="N47" s="24"/>
      <c r="O47" s="22"/>
      <c r="P47" s="12"/>
      <c r="Q47" s="18"/>
      <c r="R47" s="19"/>
      <c r="S47" s="11"/>
    </row>
    <row r="48" spans="1:19" ht="14.25">
      <c r="A48" s="55">
        <v>38</v>
      </c>
      <c r="B48" s="23"/>
      <c r="C48" s="54">
        <v>10</v>
      </c>
      <c r="D48" s="56"/>
      <c r="E48" s="57"/>
      <c r="F48" s="51"/>
      <c r="G48" s="52"/>
      <c r="H48" s="53"/>
      <c r="I48" s="17"/>
      <c r="J48" s="19"/>
      <c r="K48" s="19"/>
      <c r="L48" s="24"/>
      <c r="M48" s="24"/>
      <c r="N48" s="24"/>
      <c r="O48" s="22"/>
      <c r="P48" s="12"/>
      <c r="Q48" s="18"/>
      <c r="R48" s="19"/>
      <c r="S48" s="11"/>
    </row>
    <row r="49" spans="1:19" ht="14.25">
      <c r="A49" s="55">
        <v>39</v>
      </c>
      <c r="B49" s="23"/>
      <c r="C49" s="54">
        <v>10</v>
      </c>
      <c r="D49" s="56"/>
      <c r="E49" s="57"/>
      <c r="F49" s="51"/>
      <c r="G49" s="52"/>
      <c r="H49" s="53"/>
      <c r="I49" s="17"/>
      <c r="J49" s="19"/>
      <c r="K49" s="19"/>
      <c r="L49" s="24"/>
      <c r="M49" s="24"/>
      <c r="N49" s="24"/>
      <c r="O49" s="22"/>
      <c r="P49" s="12"/>
      <c r="Q49" s="18"/>
      <c r="R49" s="19"/>
      <c r="S49" s="11"/>
    </row>
    <row r="50" spans="1:19" ht="14.25">
      <c r="A50" s="55">
        <v>40</v>
      </c>
      <c r="B50" s="23"/>
      <c r="C50" s="54">
        <v>10</v>
      </c>
      <c r="D50" s="56"/>
      <c r="E50" s="57"/>
      <c r="F50" s="51"/>
      <c r="G50" s="52"/>
      <c r="H50" s="53"/>
      <c r="I50" s="17"/>
      <c r="J50" s="19"/>
      <c r="K50" s="19"/>
      <c r="L50" s="24"/>
      <c r="M50" s="24"/>
      <c r="N50" s="24"/>
      <c r="O50" s="22"/>
      <c r="P50" s="12"/>
      <c r="Q50" s="18"/>
      <c r="R50" s="19"/>
      <c r="S50" s="11"/>
    </row>
    <row r="51" spans="1:19" ht="14.25">
      <c r="A51" s="55">
        <v>41</v>
      </c>
      <c r="B51" s="23"/>
      <c r="C51" s="54">
        <v>10</v>
      </c>
      <c r="D51" s="56"/>
      <c r="E51" s="57"/>
      <c r="F51" s="51"/>
      <c r="G51" s="52"/>
      <c r="H51" s="53"/>
      <c r="I51" s="17"/>
      <c r="J51" s="19"/>
      <c r="K51" s="19"/>
      <c r="L51" s="24"/>
      <c r="M51" s="24"/>
      <c r="N51" s="24"/>
      <c r="O51" s="22"/>
      <c r="P51" s="12"/>
      <c r="Q51" s="18"/>
      <c r="R51" s="19"/>
      <c r="S51" s="11"/>
    </row>
    <row r="52" spans="1:19" ht="14.25">
      <c r="A52" s="55">
        <v>42</v>
      </c>
      <c r="B52" s="23"/>
      <c r="C52" s="54">
        <v>10</v>
      </c>
      <c r="D52" s="56"/>
      <c r="E52" s="57"/>
      <c r="F52" s="51"/>
      <c r="G52" s="52"/>
      <c r="H52" s="53"/>
      <c r="I52" s="17"/>
      <c r="J52" s="19"/>
      <c r="K52" s="19"/>
      <c r="L52" s="24"/>
      <c r="M52" s="24"/>
      <c r="N52" s="24"/>
      <c r="O52" s="22"/>
      <c r="P52" s="12"/>
      <c r="Q52" s="18"/>
      <c r="R52" s="19"/>
      <c r="S52" s="11"/>
    </row>
    <row r="53" spans="1:19" ht="14.25">
      <c r="A53" s="55">
        <v>43</v>
      </c>
      <c r="B53" s="23"/>
      <c r="C53" s="54">
        <v>10</v>
      </c>
      <c r="D53" s="56"/>
      <c r="E53" s="57"/>
      <c r="F53" s="51"/>
      <c r="G53" s="52"/>
      <c r="H53" s="53"/>
      <c r="I53" s="17"/>
      <c r="J53" s="19"/>
      <c r="K53" s="19"/>
      <c r="L53" s="24"/>
      <c r="M53" s="24"/>
      <c r="N53" s="24"/>
      <c r="O53" s="22"/>
      <c r="P53" s="12"/>
      <c r="Q53" s="18"/>
      <c r="R53" s="19"/>
      <c r="S53" s="11"/>
    </row>
    <row r="54" spans="1:19" ht="14.25">
      <c r="A54" s="55">
        <v>44</v>
      </c>
      <c r="B54" s="23"/>
      <c r="C54" s="54">
        <v>10</v>
      </c>
      <c r="D54" s="56"/>
      <c r="E54" s="57"/>
      <c r="F54" s="51"/>
      <c r="G54" s="52"/>
      <c r="H54" s="53"/>
      <c r="I54" s="17"/>
      <c r="J54" s="19"/>
      <c r="K54" s="19"/>
      <c r="L54" s="24"/>
      <c r="M54" s="24"/>
      <c r="N54" s="24"/>
      <c r="O54" s="22"/>
      <c r="P54" s="12"/>
      <c r="Q54" s="18"/>
      <c r="R54" s="19"/>
      <c r="S54" s="11"/>
    </row>
    <row r="55" spans="1:19" ht="14.25">
      <c r="A55" s="55">
        <v>45</v>
      </c>
      <c r="B55" s="23"/>
      <c r="C55" s="54">
        <v>10</v>
      </c>
      <c r="D55" s="56"/>
      <c r="E55" s="57"/>
      <c r="F55" s="51"/>
      <c r="G55" s="52"/>
      <c r="H55" s="53"/>
      <c r="I55" s="17"/>
      <c r="J55" s="19"/>
      <c r="K55" s="19"/>
      <c r="L55" s="24"/>
      <c r="M55" s="24"/>
      <c r="N55" s="24"/>
      <c r="O55" s="22"/>
      <c r="P55" s="12"/>
      <c r="Q55" s="18"/>
      <c r="R55" s="19"/>
      <c r="S55" s="11"/>
    </row>
    <row r="56" spans="1:19" ht="14.25">
      <c r="A56" s="55">
        <v>46</v>
      </c>
      <c r="B56" s="23"/>
      <c r="C56" s="54">
        <v>10</v>
      </c>
      <c r="D56" s="56"/>
      <c r="E56" s="57"/>
      <c r="F56" s="51"/>
      <c r="G56" s="52"/>
      <c r="H56" s="53"/>
      <c r="I56" s="17"/>
      <c r="J56" s="19"/>
      <c r="K56" s="19"/>
      <c r="L56" s="24"/>
      <c r="M56" s="24"/>
      <c r="N56" s="24"/>
      <c r="O56" s="22"/>
      <c r="P56" s="12"/>
      <c r="Q56" s="18"/>
      <c r="R56" s="19"/>
      <c r="S56" s="11"/>
    </row>
    <row r="57" spans="1:19" ht="14.25">
      <c r="A57" s="55">
        <v>47</v>
      </c>
      <c r="B57" s="23"/>
      <c r="C57" s="54">
        <v>10</v>
      </c>
      <c r="D57" s="56"/>
      <c r="E57" s="57"/>
      <c r="F57" s="51"/>
      <c r="G57" s="52"/>
      <c r="H57" s="53"/>
      <c r="I57" s="17"/>
      <c r="J57" s="19"/>
      <c r="K57" s="19"/>
      <c r="L57" s="24"/>
      <c r="M57" s="24"/>
      <c r="N57" s="24"/>
      <c r="O57" s="22"/>
      <c r="P57" s="12"/>
      <c r="Q57" s="18"/>
      <c r="R57" s="19"/>
      <c r="S57" s="11"/>
    </row>
    <row r="58" spans="1:19" ht="14.25">
      <c r="A58" s="55">
        <v>48</v>
      </c>
      <c r="B58" s="23"/>
      <c r="C58" s="54">
        <v>10</v>
      </c>
      <c r="D58" s="56"/>
      <c r="E58" s="57"/>
      <c r="F58" s="51"/>
      <c r="G58" s="52"/>
      <c r="H58" s="53"/>
      <c r="I58" s="17"/>
      <c r="J58" s="19"/>
      <c r="K58" s="19"/>
      <c r="L58" s="24"/>
      <c r="M58" s="24"/>
      <c r="N58" s="24"/>
      <c r="O58" s="22"/>
      <c r="P58" s="12"/>
      <c r="Q58" s="18"/>
      <c r="R58" s="19"/>
      <c r="S58" s="11"/>
    </row>
    <row r="59" spans="1:19" ht="14.25">
      <c r="A59" s="55">
        <v>49</v>
      </c>
      <c r="B59" s="23"/>
      <c r="C59" s="54">
        <v>10</v>
      </c>
      <c r="D59" s="56"/>
      <c r="E59" s="57"/>
      <c r="F59" s="51"/>
      <c r="G59" s="52"/>
      <c r="H59" s="53"/>
      <c r="I59" s="17"/>
      <c r="J59" s="19"/>
      <c r="K59" s="19"/>
      <c r="L59" s="24"/>
      <c r="M59" s="24"/>
      <c r="N59" s="24"/>
      <c r="O59" s="22"/>
      <c r="P59" s="12"/>
      <c r="Q59" s="18"/>
      <c r="R59" s="19"/>
      <c r="S59" s="11"/>
    </row>
    <row r="60" spans="1:19" ht="14.25">
      <c r="A60" s="55">
        <v>50</v>
      </c>
      <c r="B60" s="23"/>
      <c r="C60" s="54">
        <v>10</v>
      </c>
      <c r="D60" s="56"/>
      <c r="E60" s="57"/>
      <c r="F60" s="51"/>
      <c r="G60" s="52"/>
      <c r="H60" s="53"/>
      <c r="I60" s="17"/>
      <c r="J60" s="19"/>
      <c r="K60" s="19"/>
      <c r="L60" s="24"/>
      <c r="M60" s="24"/>
      <c r="N60" s="24"/>
      <c r="O60" s="22"/>
      <c r="P60" s="12"/>
      <c r="Q60" s="18"/>
      <c r="R60" s="19"/>
      <c r="S60" s="11"/>
    </row>
    <row r="61" spans="1:19" ht="14.25">
      <c r="A61" s="55">
        <v>51</v>
      </c>
      <c r="B61" s="23"/>
      <c r="C61" s="54">
        <v>10</v>
      </c>
      <c r="D61" s="56"/>
      <c r="E61" s="57"/>
      <c r="F61" s="51"/>
      <c r="G61" s="52"/>
      <c r="H61" s="53"/>
      <c r="I61" s="17"/>
      <c r="J61" s="19"/>
      <c r="K61" s="19"/>
      <c r="L61" s="24"/>
      <c r="M61" s="24"/>
      <c r="N61" s="24"/>
      <c r="O61" s="22"/>
      <c r="P61" s="12"/>
      <c r="Q61" s="18"/>
      <c r="R61" s="19"/>
      <c r="S61" s="11"/>
    </row>
    <row r="62" spans="1:19" ht="14.25">
      <c r="A62" s="55">
        <v>52</v>
      </c>
      <c r="B62" s="23"/>
      <c r="C62" s="54">
        <v>10</v>
      </c>
      <c r="D62" s="56"/>
      <c r="E62" s="57"/>
      <c r="F62" s="51"/>
      <c r="G62" s="52"/>
      <c r="H62" s="53"/>
      <c r="I62" s="17"/>
      <c r="J62" s="19"/>
      <c r="K62" s="19"/>
      <c r="L62" s="24"/>
      <c r="M62" s="24"/>
      <c r="N62" s="24"/>
      <c r="O62" s="22"/>
      <c r="P62" s="12"/>
      <c r="Q62" s="18"/>
      <c r="R62" s="19"/>
      <c r="S62" s="11"/>
    </row>
    <row r="63" spans="1:19" ht="14.25">
      <c r="A63" s="55">
        <v>53</v>
      </c>
      <c r="B63" s="23"/>
      <c r="C63" s="54">
        <v>10</v>
      </c>
      <c r="D63" s="56"/>
      <c r="E63" s="57"/>
      <c r="F63" s="51"/>
      <c r="G63" s="52"/>
      <c r="H63" s="53"/>
      <c r="I63" s="17"/>
      <c r="J63" s="19"/>
      <c r="K63" s="19"/>
      <c r="L63" s="24"/>
      <c r="M63" s="24"/>
      <c r="N63" s="24"/>
      <c r="O63" s="22"/>
      <c r="P63" s="12"/>
      <c r="Q63" s="18"/>
      <c r="R63" s="19"/>
      <c r="S63" s="11"/>
    </row>
    <row r="64" spans="1:19" ht="14.25">
      <c r="A64" s="55">
        <v>54</v>
      </c>
      <c r="B64" s="23"/>
      <c r="C64" s="54">
        <v>10</v>
      </c>
      <c r="D64" s="56"/>
      <c r="E64" s="57"/>
      <c r="F64" s="51"/>
      <c r="G64" s="52"/>
      <c r="H64" s="53"/>
      <c r="I64" s="17"/>
      <c r="J64" s="19"/>
      <c r="K64" s="19"/>
      <c r="L64" s="24"/>
      <c r="M64" s="24"/>
      <c r="N64" s="24"/>
      <c r="O64" s="22"/>
      <c r="P64" s="12"/>
      <c r="Q64" s="18"/>
      <c r="R64" s="19"/>
      <c r="S64" s="11"/>
    </row>
    <row r="65" spans="1:19" ht="14.25">
      <c r="A65" s="55">
        <v>55</v>
      </c>
      <c r="B65" s="23"/>
      <c r="C65" s="54">
        <v>10</v>
      </c>
      <c r="D65" s="56"/>
      <c r="E65" s="57"/>
      <c r="F65" s="51"/>
      <c r="G65" s="52"/>
      <c r="H65" s="53"/>
      <c r="I65" s="17"/>
      <c r="J65" s="19"/>
      <c r="K65" s="19"/>
      <c r="L65" s="24"/>
      <c r="M65" s="24"/>
      <c r="N65" s="24"/>
      <c r="O65" s="22"/>
      <c r="P65" s="12"/>
      <c r="Q65" s="18"/>
      <c r="R65" s="19"/>
      <c r="S65" s="11"/>
    </row>
    <row r="66" spans="1:19" ht="14.25">
      <c r="A66" s="55">
        <v>56</v>
      </c>
      <c r="B66" s="23"/>
      <c r="C66" s="54">
        <v>10</v>
      </c>
      <c r="D66" s="56"/>
      <c r="E66" s="57"/>
      <c r="F66" s="51"/>
      <c r="G66" s="52"/>
      <c r="H66" s="53"/>
      <c r="I66" s="17"/>
      <c r="J66" s="19"/>
      <c r="K66" s="19"/>
      <c r="L66" s="24"/>
      <c r="M66" s="24"/>
      <c r="N66" s="24"/>
      <c r="O66" s="22"/>
      <c r="P66" s="12"/>
      <c r="Q66" s="18"/>
      <c r="R66" s="19"/>
      <c r="S66" s="11"/>
    </row>
    <row r="67" spans="1:19" ht="14.25">
      <c r="A67" s="55">
        <v>57</v>
      </c>
      <c r="B67" s="23"/>
      <c r="C67" s="54">
        <v>10</v>
      </c>
      <c r="D67" s="56"/>
      <c r="E67" s="57"/>
      <c r="F67" s="51"/>
      <c r="G67" s="52"/>
      <c r="H67" s="53"/>
      <c r="I67" s="17"/>
      <c r="J67" s="19"/>
      <c r="K67" s="19"/>
      <c r="L67" s="24"/>
      <c r="M67" s="24"/>
      <c r="N67" s="24"/>
      <c r="O67" s="22"/>
      <c r="P67" s="12"/>
      <c r="Q67" s="18"/>
      <c r="R67" s="19"/>
      <c r="S67" s="11"/>
    </row>
    <row r="68" spans="1:19" ht="14.25">
      <c r="A68" s="55">
        <v>58</v>
      </c>
      <c r="B68" s="23"/>
      <c r="C68" s="54">
        <v>10</v>
      </c>
      <c r="D68" s="56"/>
      <c r="E68" s="57"/>
      <c r="F68" s="51"/>
      <c r="G68" s="52"/>
      <c r="H68" s="53"/>
      <c r="I68" s="17"/>
      <c r="J68" s="19"/>
      <c r="K68" s="19"/>
      <c r="L68" s="24"/>
      <c r="M68" s="24"/>
      <c r="N68" s="24"/>
      <c r="O68" s="22"/>
      <c r="P68" s="12"/>
      <c r="Q68" s="18"/>
      <c r="R68" s="19"/>
      <c r="S68" s="11"/>
    </row>
    <row r="69" spans="1:19" ht="14.25">
      <c r="A69" s="55">
        <v>59</v>
      </c>
      <c r="B69" s="23"/>
      <c r="C69" s="54">
        <v>10</v>
      </c>
      <c r="D69" s="56"/>
      <c r="E69" s="57"/>
      <c r="F69" s="51"/>
      <c r="G69" s="52"/>
      <c r="H69" s="53"/>
      <c r="I69" s="17"/>
      <c r="J69" s="19"/>
      <c r="K69" s="19"/>
      <c r="L69" s="24"/>
      <c r="M69" s="24"/>
      <c r="N69" s="24"/>
      <c r="O69" s="22"/>
      <c r="P69" s="12"/>
      <c r="Q69" s="18"/>
      <c r="R69" s="19"/>
      <c r="S69" s="11"/>
    </row>
    <row r="70" spans="1:19" ht="14.25">
      <c r="A70" s="55">
        <v>60</v>
      </c>
      <c r="B70" s="23"/>
      <c r="C70" s="54">
        <v>10</v>
      </c>
      <c r="D70" s="56"/>
      <c r="E70" s="57"/>
      <c r="F70" s="51"/>
      <c r="G70" s="52"/>
      <c r="H70" s="53"/>
      <c r="I70" s="17"/>
      <c r="J70" s="19"/>
      <c r="K70" s="19"/>
      <c r="L70" s="24"/>
      <c r="M70" s="24"/>
      <c r="N70" s="24"/>
      <c r="O70" s="22"/>
      <c r="P70" s="12"/>
      <c r="Q70" s="18"/>
      <c r="R70" s="19"/>
      <c r="S70" s="11"/>
    </row>
    <row r="71" spans="1:19" ht="14.25">
      <c r="A71" s="55">
        <v>61</v>
      </c>
      <c r="B71" s="23"/>
      <c r="C71" s="54">
        <v>10</v>
      </c>
      <c r="D71" s="56"/>
      <c r="E71" s="57"/>
      <c r="F71" s="51"/>
      <c r="G71" s="52"/>
      <c r="H71" s="53"/>
      <c r="I71" s="17"/>
      <c r="J71" s="19"/>
      <c r="K71" s="19"/>
      <c r="L71" s="24"/>
      <c r="M71" s="24"/>
      <c r="N71" s="24"/>
      <c r="O71" s="22"/>
      <c r="P71" s="12"/>
      <c r="Q71" s="18"/>
      <c r="R71" s="19"/>
      <c r="S71" s="11"/>
    </row>
    <row r="72" spans="1:19" ht="14.25">
      <c r="A72" s="55">
        <v>62</v>
      </c>
      <c r="B72" s="23"/>
      <c r="C72" s="54">
        <v>10</v>
      </c>
      <c r="D72" s="56"/>
      <c r="E72" s="57"/>
      <c r="F72" s="51"/>
      <c r="G72" s="52"/>
      <c r="H72" s="53"/>
      <c r="I72" s="17"/>
      <c r="J72" s="19"/>
      <c r="K72" s="19"/>
      <c r="L72" s="24"/>
      <c r="M72" s="24"/>
      <c r="N72" s="24"/>
      <c r="O72" s="22"/>
      <c r="P72" s="12"/>
      <c r="Q72" s="18"/>
      <c r="R72" s="19"/>
      <c r="S72" s="11"/>
    </row>
    <row r="73" spans="1:19" ht="14.25">
      <c r="A73" s="55">
        <v>63</v>
      </c>
      <c r="B73" s="23"/>
      <c r="C73" s="54">
        <v>10</v>
      </c>
      <c r="D73" s="56"/>
      <c r="E73" s="57"/>
      <c r="F73" s="51"/>
      <c r="G73" s="52"/>
      <c r="H73" s="53"/>
      <c r="I73" s="17"/>
      <c r="J73" s="19"/>
      <c r="K73" s="19"/>
      <c r="L73" s="24"/>
      <c r="M73" s="24"/>
      <c r="N73" s="24"/>
      <c r="O73" s="22"/>
      <c r="P73" s="12"/>
      <c r="Q73" s="18"/>
      <c r="R73" s="19"/>
      <c r="S73" s="11"/>
    </row>
    <row r="74" spans="1:19" ht="14.25">
      <c r="A74" s="55">
        <v>64</v>
      </c>
      <c r="B74" s="23"/>
      <c r="C74" s="54">
        <v>10</v>
      </c>
      <c r="D74" s="56"/>
      <c r="E74" s="57"/>
      <c r="F74" s="51"/>
      <c r="G74" s="52"/>
      <c r="H74" s="53"/>
      <c r="I74" s="17"/>
      <c r="J74" s="19"/>
      <c r="K74" s="19"/>
      <c r="L74" s="24"/>
      <c r="M74" s="24"/>
      <c r="N74" s="24"/>
      <c r="O74" s="22"/>
      <c r="P74" s="12"/>
      <c r="Q74" s="18"/>
      <c r="R74" s="19"/>
      <c r="S74" s="11"/>
    </row>
    <row r="75" spans="1:19" ht="14.25">
      <c r="A75" s="55">
        <v>65</v>
      </c>
      <c r="B75" s="23"/>
      <c r="C75" s="54">
        <v>10</v>
      </c>
      <c r="D75" s="56"/>
      <c r="E75" s="57"/>
      <c r="F75" s="51"/>
      <c r="G75" s="52"/>
      <c r="H75" s="53"/>
      <c r="I75" s="17"/>
      <c r="J75" s="19"/>
      <c r="K75" s="19"/>
      <c r="L75" s="24"/>
      <c r="M75" s="24"/>
      <c r="N75" s="24"/>
      <c r="O75" s="22"/>
      <c r="P75" s="12"/>
      <c r="Q75" s="18"/>
      <c r="R75" s="19"/>
      <c r="S75" s="11"/>
    </row>
    <row r="76" spans="1:19" ht="14.25">
      <c r="A76" s="55">
        <v>66</v>
      </c>
      <c r="B76" s="23"/>
      <c r="C76" s="54">
        <v>10</v>
      </c>
      <c r="D76" s="56"/>
      <c r="E76" s="57"/>
      <c r="F76" s="51"/>
      <c r="G76" s="52"/>
      <c r="H76" s="53"/>
      <c r="I76" s="17"/>
      <c r="J76" s="19"/>
      <c r="K76" s="19"/>
      <c r="L76" s="24"/>
      <c r="M76" s="24"/>
      <c r="N76" s="24"/>
      <c r="O76" s="22"/>
      <c r="P76" s="12"/>
      <c r="Q76" s="18"/>
      <c r="R76" s="19"/>
      <c r="S76" s="11"/>
    </row>
    <row r="77" spans="1:19" ht="14.25">
      <c r="A77" s="55">
        <v>67</v>
      </c>
      <c r="B77" s="23"/>
      <c r="C77" s="54">
        <v>10</v>
      </c>
      <c r="D77" s="56"/>
      <c r="E77" s="57"/>
      <c r="F77" s="51"/>
      <c r="G77" s="52"/>
      <c r="H77" s="53"/>
      <c r="I77" s="17"/>
      <c r="J77" s="19"/>
      <c r="K77" s="19"/>
      <c r="L77" s="24"/>
      <c r="M77" s="24"/>
      <c r="N77" s="24"/>
      <c r="O77" s="22"/>
      <c r="P77" s="12"/>
      <c r="Q77" s="18"/>
      <c r="R77" s="19"/>
      <c r="S77" s="11"/>
    </row>
    <row r="78" spans="1:19" ht="14.25">
      <c r="A78" s="55">
        <v>68</v>
      </c>
      <c r="B78" s="23"/>
      <c r="C78" s="54">
        <v>10</v>
      </c>
      <c r="D78" s="56"/>
      <c r="E78" s="57"/>
      <c r="F78" s="51"/>
      <c r="G78" s="52"/>
      <c r="H78" s="53"/>
      <c r="I78" s="17"/>
      <c r="J78" s="19"/>
      <c r="K78" s="19"/>
      <c r="L78" s="24"/>
      <c r="M78" s="24"/>
      <c r="N78" s="24"/>
      <c r="O78" s="22"/>
      <c r="P78" s="12"/>
      <c r="Q78" s="18"/>
      <c r="R78" s="19"/>
      <c r="S78" s="11"/>
    </row>
    <row r="79" spans="1:19" ht="14.25">
      <c r="A79" s="55">
        <v>69</v>
      </c>
      <c r="B79" s="23"/>
      <c r="C79" s="54">
        <v>10</v>
      </c>
      <c r="D79" s="56"/>
      <c r="E79" s="57"/>
      <c r="F79" s="51"/>
      <c r="G79" s="52"/>
      <c r="H79" s="53"/>
      <c r="I79" s="17"/>
      <c r="J79" s="19"/>
      <c r="K79" s="19"/>
      <c r="L79" s="24"/>
      <c r="M79" s="24"/>
      <c r="N79" s="24"/>
      <c r="O79" s="22"/>
      <c r="P79" s="12"/>
      <c r="Q79" s="18"/>
      <c r="R79" s="19"/>
      <c r="S79" s="11"/>
    </row>
    <row r="80" spans="1:19" ht="14.25">
      <c r="A80" s="55">
        <v>70</v>
      </c>
      <c r="B80" s="23"/>
      <c r="C80" s="54">
        <v>10</v>
      </c>
      <c r="D80" s="56"/>
      <c r="E80" s="57"/>
      <c r="F80" s="51"/>
      <c r="G80" s="52"/>
      <c r="H80" s="53"/>
      <c r="I80" s="17"/>
      <c r="J80" s="19"/>
      <c r="K80" s="19"/>
      <c r="L80" s="24"/>
      <c r="M80" s="24"/>
      <c r="N80" s="24"/>
      <c r="O80" s="22"/>
      <c r="P80" s="12"/>
      <c r="Q80" s="18"/>
      <c r="R80" s="19"/>
      <c r="S80" s="11"/>
    </row>
    <row r="81" spans="1:19" ht="14.25">
      <c r="A81" s="55">
        <v>71</v>
      </c>
      <c r="B81" s="23"/>
      <c r="C81" s="54">
        <v>10</v>
      </c>
      <c r="D81" s="56"/>
      <c r="E81" s="57"/>
      <c r="F81" s="51"/>
      <c r="G81" s="52"/>
      <c r="H81" s="53"/>
      <c r="I81" s="17"/>
      <c r="J81" s="19"/>
      <c r="K81" s="19"/>
      <c r="L81" s="24"/>
      <c r="M81" s="24"/>
      <c r="N81" s="24"/>
      <c r="O81" s="22"/>
      <c r="P81" s="12"/>
      <c r="Q81" s="18"/>
      <c r="R81" s="19"/>
      <c r="S81" s="11"/>
    </row>
    <row r="82" spans="1:19" ht="14.25">
      <c r="A82" s="55">
        <v>72</v>
      </c>
      <c r="B82" s="23"/>
      <c r="C82" s="54">
        <v>10</v>
      </c>
      <c r="D82" s="56"/>
      <c r="E82" s="57"/>
      <c r="F82" s="51"/>
      <c r="G82" s="52"/>
      <c r="H82" s="53"/>
      <c r="I82" s="17"/>
      <c r="J82" s="19"/>
      <c r="K82" s="19"/>
      <c r="L82" s="24"/>
      <c r="M82" s="24"/>
      <c r="N82" s="24"/>
      <c r="O82" s="22"/>
      <c r="P82" s="12"/>
      <c r="Q82" s="18"/>
      <c r="R82" s="19"/>
      <c r="S82" s="11"/>
    </row>
    <row r="83" spans="1:19" ht="14.25">
      <c r="A83" s="55">
        <v>73</v>
      </c>
      <c r="B83" s="23"/>
      <c r="C83" s="54">
        <v>10</v>
      </c>
      <c r="D83" s="56"/>
      <c r="E83" s="57"/>
      <c r="F83" s="51"/>
      <c r="G83" s="52"/>
      <c r="H83" s="53"/>
      <c r="I83" s="17"/>
      <c r="J83" s="19"/>
      <c r="K83" s="19"/>
      <c r="L83" s="24"/>
      <c r="M83" s="24"/>
      <c r="N83" s="24"/>
      <c r="O83" s="22"/>
      <c r="P83" s="12"/>
      <c r="Q83" s="18"/>
      <c r="R83" s="19"/>
      <c r="S83" s="11"/>
    </row>
    <row r="84" spans="1:19" ht="14.25">
      <c r="A84" s="55">
        <v>74</v>
      </c>
      <c r="B84" s="23"/>
      <c r="C84" s="54">
        <v>10</v>
      </c>
      <c r="D84" s="56"/>
      <c r="E84" s="57"/>
      <c r="F84" s="51"/>
      <c r="G84" s="52"/>
      <c r="H84" s="53"/>
      <c r="I84" s="17"/>
      <c r="J84" s="19"/>
      <c r="K84" s="19"/>
      <c r="L84" s="24"/>
      <c r="M84" s="24"/>
      <c r="N84" s="24"/>
      <c r="O84" s="22"/>
      <c r="P84" s="12"/>
      <c r="Q84" s="18"/>
      <c r="R84" s="19"/>
      <c r="S84" s="11"/>
    </row>
    <row r="85" spans="1:19" ht="14.25">
      <c r="A85" s="55">
        <v>75</v>
      </c>
      <c r="B85" s="23"/>
      <c r="C85" s="54">
        <v>10</v>
      </c>
      <c r="D85" s="56"/>
      <c r="E85" s="57"/>
      <c r="F85" s="51"/>
      <c r="G85" s="52"/>
      <c r="H85" s="53"/>
      <c r="I85" s="17"/>
      <c r="J85" s="19"/>
      <c r="K85" s="19"/>
      <c r="L85" s="24"/>
      <c r="M85" s="24"/>
      <c r="N85" s="24"/>
      <c r="O85" s="22"/>
      <c r="P85" s="12"/>
      <c r="Q85" s="18"/>
      <c r="R85" s="19"/>
      <c r="S85" s="11"/>
    </row>
    <row r="86" spans="1:19" ht="14.25">
      <c r="A86" s="55">
        <v>76</v>
      </c>
      <c r="B86" s="23"/>
      <c r="C86" s="54">
        <v>10</v>
      </c>
      <c r="D86" s="56"/>
      <c r="E86" s="57"/>
      <c r="F86" s="51"/>
      <c r="G86" s="52"/>
      <c r="H86" s="53"/>
      <c r="I86" s="17"/>
      <c r="J86" s="19"/>
      <c r="K86" s="19"/>
      <c r="L86" s="24"/>
      <c r="M86" s="24"/>
      <c r="N86" s="24"/>
      <c r="O86" s="22"/>
      <c r="P86" s="12"/>
      <c r="Q86" s="18"/>
      <c r="R86" s="19"/>
      <c r="S86" s="11"/>
    </row>
    <row r="87" spans="1:19" ht="14.25">
      <c r="A87" s="55">
        <v>77</v>
      </c>
      <c r="B87" s="23"/>
      <c r="C87" s="54">
        <v>10</v>
      </c>
      <c r="D87" s="56"/>
      <c r="E87" s="57"/>
      <c r="F87" s="51"/>
      <c r="G87" s="52"/>
      <c r="H87" s="53"/>
      <c r="I87" s="17"/>
      <c r="J87" s="19"/>
      <c r="K87" s="19"/>
      <c r="L87" s="24"/>
      <c r="M87" s="24"/>
      <c r="N87" s="24"/>
      <c r="O87" s="22"/>
      <c r="P87" s="12"/>
      <c r="Q87" s="18"/>
      <c r="R87" s="19"/>
      <c r="S87" s="11"/>
    </row>
    <row r="88" spans="1:19" ht="14.25">
      <c r="A88" s="55">
        <v>78</v>
      </c>
      <c r="B88" s="23"/>
      <c r="C88" s="54">
        <v>10</v>
      </c>
      <c r="D88" s="56"/>
      <c r="E88" s="57"/>
      <c r="F88" s="51"/>
      <c r="G88" s="52"/>
      <c r="H88" s="53"/>
      <c r="I88" s="17"/>
      <c r="J88" s="19"/>
      <c r="K88" s="19"/>
      <c r="L88" s="24"/>
      <c r="M88" s="24"/>
      <c r="N88" s="24"/>
      <c r="O88" s="22"/>
      <c r="P88" s="12"/>
      <c r="Q88" s="18"/>
      <c r="R88" s="19"/>
      <c r="S88" s="11"/>
    </row>
    <row r="89" spans="1:19" ht="14.25">
      <c r="A89" s="55">
        <v>79</v>
      </c>
      <c r="B89" s="23"/>
      <c r="C89" s="54">
        <v>10</v>
      </c>
      <c r="D89" s="56"/>
      <c r="E89" s="57"/>
      <c r="F89" s="51"/>
      <c r="G89" s="52"/>
      <c r="H89" s="53"/>
      <c r="I89" s="17"/>
      <c r="J89" s="19"/>
      <c r="K89" s="19"/>
      <c r="L89" s="24"/>
      <c r="M89" s="24"/>
      <c r="N89" s="24"/>
      <c r="O89" s="22"/>
      <c r="P89" s="12"/>
      <c r="Q89" s="18"/>
      <c r="R89" s="19"/>
      <c r="S89" s="11"/>
    </row>
    <row r="90" spans="1:19" ht="14.25">
      <c r="A90" s="55">
        <v>80</v>
      </c>
      <c r="B90" s="23"/>
      <c r="C90" s="54">
        <v>10</v>
      </c>
      <c r="D90" s="56"/>
      <c r="E90" s="57"/>
      <c r="F90" s="51"/>
      <c r="G90" s="52"/>
      <c r="H90" s="53"/>
      <c r="I90" s="17"/>
      <c r="J90" s="19"/>
      <c r="K90" s="19"/>
      <c r="L90" s="24"/>
      <c r="M90" s="24"/>
      <c r="N90" s="24"/>
      <c r="O90" s="22"/>
      <c r="P90" s="12"/>
      <c r="Q90" s="18"/>
      <c r="R90" s="19"/>
      <c r="S90" s="11"/>
    </row>
    <row r="91" spans="1:19" ht="14.25">
      <c r="A91" s="55">
        <v>81</v>
      </c>
      <c r="B91" s="23"/>
      <c r="C91" s="54">
        <v>10</v>
      </c>
      <c r="D91" s="56"/>
      <c r="E91" s="57"/>
      <c r="F91" s="51"/>
      <c r="G91" s="52"/>
      <c r="H91" s="53"/>
      <c r="I91" s="17"/>
      <c r="J91" s="19"/>
      <c r="K91" s="19"/>
      <c r="L91" s="24"/>
      <c r="M91" s="24"/>
      <c r="N91" s="24"/>
      <c r="O91" s="22"/>
      <c r="P91" s="12"/>
      <c r="Q91" s="18"/>
      <c r="R91" s="19"/>
      <c r="S91" s="11"/>
    </row>
    <row r="92" spans="1:19" ht="14.25">
      <c r="A92" s="55">
        <v>82</v>
      </c>
      <c r="B92" s="23"/>
      <c r="C92" s="54">
        <v>10</v>
      </c>
      <c r="D92" s="56"/>
      <c r="E92" s="57"/>
      <c r="F92" s="51"/>
      <c r="G92" s="52"/>
      <c r="H92" s="53"/>
      <c r="I92" s="17"/>
      <c r="J92" s="19"/>
      <c r="K92" s="19"/>
      <c r="L92" s="24"/>
      <c r="M92" s="24"/>
      <c r="N92" s="24"/>
      <c r="O92" s="22"/>
      <c r="P92" s="12"/>
      <c r="Q92" s="18"/>
      <c r="R92" s="19"/>
      <c r="S92" s="11"/>
    </row>
    <row r="93" spans="1:19" ht="14.25">
      <c r="A93" s="55">
        <v>83</v>
      </c>
      <c r="B93" s="23"/>
      <c r="C93" s="54">
        <v>10</v>
      </c>
      <c r="D93" s="56"/>
      <c r="E93" s="57"/>
      <c r="F93" s="51"/>
      <c r="G93" s="52"/>
      <c r="H93" s="53"/>
      <c r="I93" s="17"/>
      <c r="J93" s="19"/>
      <c r="K93" s="19"/>
      <c r="L93" s="24"/>
      <c r="M93" s="24"/>
      <c r="N93" s="24"/>
      <c r="O93" s="22"/>
      <c r="P93" s="12"/>
      <c r="Q93" s="18"/>
      <c r="R93" s="19"/>
      <c r="S93" s="11"/>
    </row>
    <row r="94" spans="1:19" ht="14.25">
      <c r="A94" s="55">
        <v>84</v>
      </c>
      <c r="B94" s="23"/>
      <c r="C94" s="54">
        <v>10</v>
      </c>
      <c r="D94" s="56"/>
      <c r="E94" s="57"/>
      <c r="F94" s="51"/>
      <c r="G94" s="52"/>
      <c r="H94" s="53"/>
      <c r="I94" s="17"/>
      <c r="J94" s="19"/>
      <c r="K94" s="19"/>
      <c r="L94" s="24"/>
      <c r="M94" s="24"/>
      <c r="N94" s="24"/>
      <c r="O94" s="22"/>
      <c r="P94" s="12"/>
      <c r="Q94" s="18"/>
      <c r="R94" s="19"/>
      <c r="S94" s="11"/>
    </row>
  </sheetData>
  <autoFilter ref="A10:S10" xr:uid="{00000000-0009-0000-0000-000000000000}"/>
  <dataConsolidate/>
  <mergeCells count="1">
    <mergeCell ref="F8:H8"/>
  </mergeCells>
  <conditionalFormatting sqref="J28:N94 K11:N27">
    <cfRule type="cellIs" dxfId="9" priority="4" operator="equal">
      <formula>"Pendiente"</formula>
    </cfRule>
    <cfRule type="cellIs" dxfId="8" priority="5" operator="equal">
      <formula>"Exitoso"</formula>
    </cfRule>
    <cfRule type="cellIs" dxfId="7" priority="6" operator="equal">
      <formula>"Con Error"</formula>
    </cfRule>
  </conditionalFormatting>
  <conditionalFormatting sqref="O11:O94 R11:R94">
    <cfRule type="cellIs" dxfId="6" priority="37" operator="equal">
      <formula>"Externado"</formula>
    </cfRule>
    <cfRule type="cellIs" dxfId="5" priority="38" operator="equal">
      <formula>"Ellucian"</formula>
    </cfRule>
  </conditionalFormatting>
  <conditionalFormatting sqref="P11:Q94">
    <cfRule type="cellIs" dxfId="4" priority="7" operator="equal">
      <formula>"High"</formula>
    </cfRule>
    <cfRule type="cellIs" dxfId="3" priority="8" operator="equal">
      <formula>"Medium"</formula>
    </cfRule>
  </conditionalFormatting>
  <conditionalFormatting sqref="J11:J27">
    <cfRule type="cellIs" dxfId="2" priority="1" operator="equal">
      <formula>"Pendiente"</formula>
    </cfRule>
    <cfRule type="cellIs" dxfId="1" priority="2" operator="equal">
      <formula>"Exitoso"</formula>
    </cfRule>
    <cfRule type="cellIs" dxfId="0" priority="3" operator="equal">
      <formula>"Con Error"</formula>
    </cfRule>
  </conditionalFormatting>
  <dataValidations count="4">
    <dataValidation allowBlank="1" showErrorMessage="1" errorTitle="Invalid Probablity" error="Valid vaues are Low, Medium, High" sqref="Q11:Q94" xr:uid="{00000000-0002-0000-0000-000000000000}"/>
    <dataValidation type="list" allowBlank="1" showInputMessage="1" showErrorMessage="1" sqref="J11:J94" xr:uid="{00000000-0002-0000-0000-000001000000}">
      <formula1>$J$1:$J$3</formula1>
    </dataValidation>
    <dataValidation type="list" allowBlank="1" showErrorMessage="1" errorTitle="Invalid Probablity" error="Valid vaues are Low, Medium, High" sqref="P11:P94" xr:uid="{00000000-0002-0000-0000-000002000000}">
      <formula1>$P$1:$P$4</formula1>
    </dataValidation>
    <dataValidation type="list" allowBlank="1" showInputMessage="1" showErrorMessage="1" sqref="R11:R94" xr:uid="{00000000-0002-0000-0000-000003000000}">
      <formula1>$R$1:$R$2</formula1>
    </dataValidation>
  </dataValidations>
  <hyperlinks>
    <hyperlink ref="A11" location="'39'!A1" display="'39'!A1" xr:uid="{00000000-0004-0000-0000-000022000000}"/>
    <hyperlink ref="A12" location="'40'!A1" display="'40'!A1" xr:uid="{00000000-0004-0000-0000-000023000000}"/>
    <hyperlink ref="A13" location="'39'!A1" display="'39'!A1" xr:uid="{76B1206A-AD10-4199-A10F-83BDF792F468}"/>
    <hyperlink ref="A14" location="'39'!A1" display="'39'!A1" xr:uid="{C9E55DE3-2D8A-4863-9FC9-22F576B86B23}"/>
    <hyperlink ref="A17" location="'39'!A1" display="'39'!A1" xr:uid="{0E0A78CB-FBF2-4B41-877E-EA11D7B8D206}"/>
    <hyperlink ref="A20" location="'39'!A1" display="'39'!A1" xr:uid="{D0F32A42-6C0F-4B39-AA02-09A5E3506797}"/>
    <hyperlink ref="A23" location="'39'!A1" display="'39'!A1" xr:uid="{53003446-9CDB-43B8-B5DD-2B01DAE84067}"/>
    <hyperlink ref="A26" location="'39'!A1" display="'39'!A1" xr:uid="{0E13AC34-5E89-4DD5-B364-0A2C2CEC38A2}"/>
    <hyperlink ref="A29" location="'39'!A1" display="'39'!A1" xr:uid="{8CC6A7C8-D0EE-4115-BB69-60F90BA3E6BF}"/>
    <hyperlink ref="A32" location="'39'!A1" display="'39'!A1" xr:uid="{8EB2E659-0EE9-4B5B-8F4D-C5086F53F710}"/>
    <hyperlink ref="A35" location="'39'!A1" display="'39'!A1" xr:uid="{CEE7C15E-0FA4-4975-8634-1A129D1D8F56}"/>
    <hyperlink ref="A38" location="'39'!A1" display="'39'!A1" xr:uid="{FA215680-EF72-487B-A5B1-5058560E39AB}"/>
    <hyperlink ref="A41" location="'39'!A1" display="'39'!A1" xr:uid="{11E912AF-A997-48DF-8D06-93D3F4AB0712}"/>
    <hyperlink ref="A44" location="'39'!A1" display="'39'!A1" xr:uid="{EE4328A2-0ED4-4922-A94A-13E008D02BFF}"/>
    <hyperlink ref="A47" location="'39'!A1" display="'39'!A1" xr:uid="{7103C30B-A6FB-41E0-A367-AE869CC131C9}"/>
    <hyperlink ref="A50" location="'39'!A1" display="'39'!A1" xr:uid="{95A315E9-2E64-400B-AEFF-780274A5C21C}"/>
    <hyperlink ref="A53" location="'39'!A1" display="'39'!A1" xr:uid="{ABF88E4C-8A63-4CC0-AC09-7D7F5518513D}"/>
    <hyperlink ref="A56" location="'39'!A1" display="'39'!A1" xr:uid="{E14519FA-D2D7-4838-9F84-DF7B0CADDFE7}"/>
    <hyperlink ref="A59" location="'39'!A1" display="'39'!A1" xr:uid="{556D9540-8495-48EA-A167-88134F41FE05}"/>
    <hyperlink ref="A62" location="'39'!A1" display="'39'!A1" xr:uid="{E48ED340-71CB-41CB-8584-A6899B0734CE}"/>
    <hyperlink ref="A65" location="'39'!A1" display="'39'!A1" xr:uid="{D2B4D89D-1227-42F6-9810-088F25B1DDFF}"/>
    <hyperlink ref="A68" location="'39'!A1" display="'39'!A1" xr:uid="{46BACEC4-351D-455C-838E-64A80ADDEE63}"/>
    <hyperlink ref="A71" location="'39'!A1" display="'39'!A1" xr:uid="{6B164EA9-FB1E-4BC9-8FCB-9E4460C7CE85}"/>
    <hyperlink ref="A74" location="'39'!A1" display="'39'!A1" xr:uid="{DB1A0BC5-5575-40C6-8E75-104B61F200F6}"/>
    <hyperlink ref="A77" location="'39'!A1" display="'39'!A1" xr:uid="{675F3071-AE79-4F2E-BCA8-316D20ABD3B5}"/>
    <hyperlink ref="A80" location="'39'!A1" display="'39'!A1" xr:uid="{2BE12B0A-1C81-48E4-A974-B0664A722734}"/>
    <hyperlink ref="A83" location="'39'!A1" display="'39'!A1" xr:uid="{9C9D1443-2750-40BB-8027-0D9698BB18EA}"/>
    <hyperlink ref="A86" location="'39'!A1" display="'39'!A1" xr:uid="{92769722-39FF-4405-A057-88BD1D1D0BC1}"/>
    <hyperlink ref="A89" location="'39'!A1" display="'39'!A1" xr:uid="{8CF2609B-6C95-4158-A108-1FC4C30ACED1}"/>
    <hyperlink ref="A92" location="'39'!A1" display="'39'!A1" xr:uid="{BBB5A9D7-717F-4E17-85BB-BA61F1AFB219}"/>
    <hyperlink ref="A15" location="'40'!A1" display="'40'!A1" xr:uid="{FC9A5DB2-0A4D-4719-B8B1-1DDF9B1CA5CE}"/>
    <hyperlink ref="A18" location="'40'!A1" display="'40'!A1" xr:uid="{4C9277A1-E5C1-46CD-B414-3AF91DD78FD2}"/>
    <hyperlink ref="A21" location="'40'!A1" display="'40'!A1" xr:uid="{E2609D55-552C-47BF-B0A9-28CF9B093BB1}"/>
    <hyperlink ref="A24" location="'40'!A1" display="'40'!A1" xr:uid="{7595E5D5-316A-473D-BA0F-EE6AACB9EE13}"/>
    <hyperlink ref="A27" location="'40'!A1" display="'40'!A1" xr:uid="{0B76CC95-6BA9-4B2E-8DEF-127D23E22BDC}"/>
    <hyperlink ref="A30" location="'40'!A1" display="'40'!A1" xr:uid="{B92690E9-FB32-4177-A600-4604D794CCF5}"/>
    <hyperlink ref="A33" location="'40'!A1" display="'40'!A1" xr:uid="{56C37D4D-5C58-464B-8650-A0E7BF8BBD6D}"/>
    <hyperlink ref="A36" location="'40'!A1" display="'40'!A1" xr:uid="{F4261BB0-13CD-4538-8AB5-3326E78D7243}"/>
    <hyperlink ref="A39" location="'40'!A1" display="'40'!A1" xr:uid="{2BB0283F-43B7-492E-9EF8-ED326A37CC00}"/>
    <hyperlink ref="A42" location="'40'!A1" display="'40'!A1" xr:uid="{2B672BB6-5286-42DA-B8D5-882F7143C748}"/>
    <hyperlink ref="A45" location="'40'!A1" display="'40'!A1" xr:uid="{0927A54C-9BCD-45D4-BD44-DF88B702DCF6}"/>
    <hyperlink ref="A48" location="'40'!A1" display="'40'!A1" xr:uid="{C86D6E8A-5EDC-42F6-B824-68B44AF52AC4}"/>
    <hyperlink ref="A51" location="'40'!A1" display="'40'!A1" xr:uid="{727E48D3-13E2-4FA7-8294-30D825518864}"/>
    <hyperlink ref="A54" location="'40'!A1" display="'40'!A1" xr:uid="{7A02DDA5-02F9-4619-BC4D-F3E49CD8F2EE}"/>
    <hyperlink ref="A57" location="'40'!A1" display="'40'!A1" xr:uid="{5DAF637E-7732-428F-A473-FCEFD4BC2615}"/>
    <hyperlink ref="A60" location="'40'!A1" display="'40'!A1" xr:uid="{EC295FC4-F0EC-4A67-926C-A5B55743CD99}"/>
    <hyperlink ref="A63" location="'40'!A1" display="'40'!A1" xr:uid="{D5EAC663-C7C0-449D-818D-439B50C5F165}"/>
    <hyperlink ref="A66" location="'40'!A1" display="'40'!A1" xr:uid="{C132DBB9-10F0-40C1-94B5-B16162020A80}"/>
    <hyperlink ref="A69" location="'40'!A1" display="'40'!A1" xr:uid="{015DDC62-E908-48EF-BA7E-F862162EFCD9}"/>
    <hyperlink ref="A72" location="'40'!A1" display="'40'!A1" xr:uid="{5DA2A3C6-D57E-447F-BAC3-AA550A40977E}"/>
    <hyperlink ref="A75" location="'40'!A1" display="'40'!A1" xr:uid="{10D461F7-92D7-4DF6-AA50-D1700CC7D4A7}"/>
    <hyperlink ref="A78" location="'40'!A1" display="'40'!A1" xr:uid="{8CED92D2-569C-44C6-A7B6-7E479C409290}"/>
    <hyperlink ref="A81" location="'40'!A1" display="'40'!A1" xr:uid="{50451A1B-1654-4EFA-9D01-9FD143D52323}"/>
    <hyperlink ref="A84" location="'40'!A1" display="'40'!A1" xr:uid="{BC926834-AD22-45BF-B449-57325C244930}"/>
    <hyperlink ref="A87" location="'40'!A1" display="'40'!A1" xr:uid="{84002DE0-ACBA-4060-B7BA-4DC7B9762598}"/>
    <hyperlink ref="A90" location="'40'!A1" display="'40'!A1" xr:uid="{631589D1-DEF6-42F4-8D59-A99A85D1D492}"/>
    <hyperlink ref="A93" location="'40'!A1" display="'40'!A1" xr:uid="{3997E7AF-3145-4DA9-9E3F-82EB564A7ED8}"/>
    <hyperlink ref="A16" location="'39'!A1" display="'39'!A1" xr:uid="{EC1D7E11-64F7-44B7-AD80-CC79EAE344A7}"/>
    <hyperlink ref="A19" location="'39'!A1" display="'39'!A1" xr:uid="{4ADCDCF1-34DD-4566-88AD-B050B26873BC}"/>
    <hyperlink ref="A22" location="'39'!A1" display="'39'!A1" xr:uid="{A10D75CD-CCE5-4232-B8EF-41C63B76691E}"/>
    <hyperlink ref="A25" location="'39'!A1" display="'39'!A1" xr:uid="{379613F1-80EB-4D81-A9FD-F0C6D6453A65}"/>
    <hyperlink ref="A28" location="'39'!A1" display="'39'!A1" xr:uid="{EBA2BD53-985A-4102-A000-9D5FF71A10F4}"/>
    <hyperlink ref="A31" location="'39'!A1" display="'39'!A1" xr:uid="{D2B04E6F-7E1B-47E5-9469-3FF224957CF0}"/>
    <hyperlink ref="A34" location="'39'!A1" display="'39'!A1" xr:uid="{8E295929-E1AC-4736-AA74-4B0745FFB974}"/>
    <hyperlink ref="A37" location="'39'!A1" display="'39'!A1" xr:uid="{1FAE270D-1616-4165-BF2B-AD95BA912815}"/>
    <hyperlink ref="A40" location="'39'!A1" display="'39'!A1" xr:uid="{F250D6B0-5C23-4053-AD23-1B3FD756344C}"/>
    <hyperlink ref="A43" location="'39'!A1" display="'39'!A1" xr:uid="{37FE05CB-2EF9-4990-A104-3553224EE0BE}"/>
    <hyperlink ref="A46" location="'39'!A1" display="'39'!A1" xr:uid="{45221816-0399-42B0-91FB-8990F3C74388}"/>
    <hyperlink ref="A49" location="'39'!A1" display="'39'!A1" xr:uid="{FCB6DFE5-61B7-46E9-8DFF-8A2B7C004E07}"/>
    <hyperlink ref="A52" location="'39'!A1" display="'39'!A1" xr:uid="{38C25915-E322-4A8D-8A45-42803D0E1473}"/>
    <hyperlink ref="A55" location="'39'!A1" display="'39'!A1" xr:uid="{851CE28C-D520-4C91-9034-F8912D0E9E09}"/>
    <hyperlink ref="A58" location="'39'!A1" display="'39'!A1" xr:uid="{34E467DC-F71C-48FD-802F-88AD3CC3C87D}"/>
    <hyperlink ref="A61" location="'39'!A1" display="'39'!A1" xr:uid="{5553A081-5E1F-41D5-B487-B90A1A130FBA}"/>
    <hyperlink ref="A64" location="'39'!A1" display="'39'!A1" xr:uid="{C7388982-9E72-40EC-8BA5-D18BF55F72F7}"/>
    <hyperlink ref="A67" location="'39'!A1" display="'39'!A1" xr:uid="{F4933D55-A442-48ED-8DE4-23B7F6199661}"/>
    <hyperlink ref="A70" location="'39'!A1" display="'39'!A1" xr:uid="{5DF0145C-532D-48BC-A9F3-856B56927F7A}"/>
    <hyperlink ref="A73" location="'39'!A1" display="'39'!A1" xr:uid="{38AA001D-CA23-4EC9-967D-FF1933ABEF4D}"/>
    <hyperlink ref="A76" location="'39'!A1" display="'39'!A1" xr:uid="{D489B843-0A3E-48C5-BAB6-875A93B33D9B}"/>
    <hyperlink ref="A79" location="'39'!A1" display="'39'!A1" xr:uid="{797C9EC3-4799-4C23-80DD-2275FDB79567}"/>
    <hyperlink ref="A82" location="'39'!A1" display="'39'!A1" xr:uid="{CF808496-B16C-4C6C-9B78-3ECD7F1ECF22}"/>
    <hyperlink ref="A85" location="'39'!A1" display="'39'!A1" xr:uid="{0C27B2A4-4101-4EFE-901F-C7DBCB36EAD8}"/>
    <hyperlink ref="A88" location="'39'!A1" display="'39'!A1" xr:uid="{C528C28B-AA91-4136-914D-0F2E0C883C76}"/>
    <hyperlink ref="A91" location="'39'!A1" display="'39'!A1" xr:uid="{C9C81EC2-7436-4F27-A349-55A7B8E2836C}"/>
    <hyperlink ref="A94" location="'39'!A1" display="'39'!A1" xr:uid="{7D7115D6-26EC-44FD-BF62-5814338AB478}"/>
  </hyperlinks>
  <printOptions horizontalCentered="1"/>
  <pageMargins left="0.25" right="0.25" top="0.75" bottom="0.75" header="0.3" footer="0.3"/>
  <pageSetup scale="37" fitToHeight="6" orientation="landscape" horizontalDpi="300" verticalDpi="300" r:id="rId1"/>
  <headerFooter>
    <oddHeader>&amp;L&amp;G&amp;CProject Issue Log</oddHeader>
    <oddFooter>&amp;CCopyright 2013 Ellucian. All Rights Reserved.&amp;R&amp;P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>
      <selection activeCell="C2" sqref="C2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Pruebas'!E11</f>
        <v>Gestión de la Carga Académica del Profesorado</v>
      </c>
    </row>
    <row r="3" spans="1:3">
      <c r="B3" s="59" t="s">
        <v>27</v>
      </c>
      <c r="C3" s="20" t="str">
        <f>'Script Pruebas'!F11</f>
        <v>Validar el cargue de los LD en PROD:
STVFCST
STVFSTP
STVFCNT
STVCNTR</v>
      </c>
    </row>
    <row r="4" spans="1:3">
      <c r="B4" s="59" t="s">
        <v>28</v>
      </c>
      <c r="C4" s="20" t="str">
        <f>'Script Pruebas'!H11</f>
        <v>Tablas validadas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  <row r="49" customFormat="1"/>
    <row r="50" customFormat="1"/>
    <row r="51" customFormat="1"/>
    <row r="52" customFormat="1"/>
    <row r="53" customFormat="1"/>
    <row r="54" customFormat="1"/>
    <row r="55" customFormat="1"/>
  </sheetData>
  <hyperlinks>
    <hyperlink ref="B1" location="'Script Pruebas'!A1" display="Regresar al Script de Pruebas" xr:uid="{B8423665-2E9F-47EA-8105-BF6B8F4C666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5"/>
  <sheetViews>
    <sheetView topLeftCell="A130" zoomScale="87" zoomScaleNormal="87" workbookViewId="0">
      <selection activeCell="B160" sqref="B160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Pruebas'!E12</f>
        <v>Gestión de la Carga Académica del Profesorado</v>
      </c>
    </row>
    <row r="3" spans="1:3">
      <c r="B3" s="59" t="s">
        <v>27</v>
      </c>
      <c r="C3" s="20" t="str">
        <f>'Script Pruebas'!F12</f>
        <v>Validar que exista la información personal del docente</v>
      </c>
    </row>
    <row r="4" spans="1:3">
      <c r="B4" s="59" t="s">
        <v>28</v>
      </c>
      <c r="C4" s="20" t="str">
        <f>'Script Pruebas'!H12</f>
        <v>ID del docente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  <row r="49" customFormat="1"/>
    <row r="50" customFormat="1"/>
    <row r="51" customFormat="1"/>
    <row r="52" customFormat="1"/>
    <row r="53" customFormat="1"/>
    <row r="54" customFormat="1"/>
    <row r="55" customFormat="1"/>
  </sheetData>
  <hyperlinks>
    <hyperlink ref="B1" location="'Script Pruebas'!A1" display="Regresar al Script de Pruebas" xr:uid="{BBFB0FD8-AFE0-4B70-9D82-EF71B6D663C1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0"/>
  <sheetViews>
    <sheetView workbookViewId="0">
      <selection activeCell="A9" sqref="A9:XFD5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Pruebas'!E13</f>
        <v>Gestión de la Carga Académica del Profesorado</v>
      </c>
    </row>
    <row r="3" spans="1:3">
      <c r="B3" s="59" t="s">
        <v>27</v>
      </c>
      <c r="C3" s="20" t="str">
        <f>'Script Pruebas'!F13</f>
        <v>Crear la persona como docente a partir de un periodo académico '000000' con toda la información</v>
      </c>
    </row>
    <row r="4" spans="1:3">
      <c r="B4" s="59" t="s">
        <v>28</v>
      </c>
      <c r="C4" s="20" t="str">
        <f>'Script Pruebas'!H13</f>
        <v>Docente creado.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  <row r="90" spans="2:2" ht="15">
      <c r="B90" s="25" t="s">
        <v>29</v>
      </c>
    </row>
  </sheetData>
  <hyperlinks>
    <hyperlink ref="B1" location="'Script Pruebas'!A1" display="Regresar al Script de Pruebas" xr:uid="{F4FE778B-D35B-4B4F-B36F-E446685F1C5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A9" sqref="A9:XFD5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Pruebas'!E14</f>
        <v>Gestión de la Carga Académica del Profesorado</v>
      </c>
    </row>
    <row r="3" spans="1:3">
      <c r="B3" s="59" t="s">
        <v>27</v>
      </c>
      <c r="C3" s="20" t="str">
        <f>'Script Pruebas'!F14</f>
        <v>Actualizar información como categoría, tipo de contrato y regla de contrato para un nuevo periodo académico</v>
      </c>
    </row>
    <row r="4" spans="1:3">
      <c r="B4" s="59" t="s">
        <v>28</v>
      </c>
      <c r="C4" s="20" t="str">
        <f>'Script Pruebas'!H14</f>
        <v>Validar reglas de carga en los docentes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AFEB724E-DC56-4F27-A1F6-DE627549D50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1"/>
  <sheetViews>
    <sheetView workbookViewId="0">
      <selection activeCell="C2" sqref="C2: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Pruebas'!E15</f>
        <v>Gestión de la Carga Académica del Profesorado</v>
      </c>
    </row>
    <row r="3" spans="1:3">
      <c r="B3" s="59" t="s">
        <v>27</v>
      </c>
      <c r="C3" s="20" t="str">
        <f>'Script Pruebas'!F15</f>
        <v>Adicionar atributos al docente</v>
      </c>
    </row>
    <row r="4" spans="1:3">
      <c r="B4" s="59" t="s">
        <v>28</v>
      </c>
      <c r="C4" s="20" t="str">
        <f>'Script Pruebas'!H15</f>
        <v>Docente con atributos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1C01743F-2E07-4D1F-ACA5-FE5C35CB62C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1"/>
  <sheetViews>
    <sheetView workbookViewId="0">
      <selection activeCell="C2" sqref="C2:C6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Pruebas'!E16</f>
        <v>Gestión de la Carga Académica del Profesorado</v>
      </c>
    </row>
    <row r="3" spans="1:3">
      <c r="B3" s="59" t="s">
        <v>27</v>
      </c>
      <c r="C3" s="20" t="str">
        <f>'Script Pruebas'!F16</f>
        <v>Adicionar información académica al Docente</v>
      </c>
    </row>
    <row r="4" spans="1:3">
      <c r="B4" s="59" t="s">
        <v>28</v>
      </c>
      <c r="C4" s="20" t="str">
        <f>'Script Pruebas'!H16</f>
        <v>Docente con información académica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6D8B02BF-88D4-4292-AEB1-60A25902EAF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Pruebas'!E17</f>
        <v>Gestión de la Carga Académica del Profesorado</v>
      </c>
    </row>
    <row r="3" spans="1:3">
      <c r="B3" s="59" t="s">
        <v>27</v>
      </c>
      <c r="C3" s="20" t="str">
        <f>'Script Pruebas'!F17</f>
        <v>Insertar información de una nueva universidad</v>
      </c>
    </row>
    <row r="4" spans="1:3">
      <c r="B4" s="59" t="s">
        <v>28</v>
      </c>
      <c r="C4" s="20" t="str">
        <f>'Script Pruebas'!H17</f>
        <v>Docente con información académica actualizada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36C8B191-7D55-4335-AA5C-4A3E7BB5CDC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1"/>
  <sheetViews>
    <sheetView workbookViewId="0">
      <selection activeCell="C2" sqref="C2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Pruebas'!E18</f>
        <v>Gestión de la Carga Académica del Profesorado</v>
      </c>
    </row>
    <row r="3" spans="1:3">
      <c r="B3" s="59" t="s">
        <v>27</v>
      </c>
      <c r="C3" s="20" t="str">
        <f>'Script Pruebas'!F18</f>
        <v>Validar o configurar la reglas de contrato</v>
      </c>
    </row>
    <row r="4" spans="1:3">
      <c r="B4" s="59" t="s">
        <v>28</v>
      </c>
      <c r="C4" s="20" t="str">
        <f>'Script Pruebas'!H18</f>
        <v>Regla de carg de trabajo creada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E4E07B9B-C5BF-484C-9A0A-AA5B7EC120F3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Pruebas'!E19</f>
        <v>Gestión de la Carga Académica del Profesorado</v>
      </c>
    </row>
    <row r="3" spans="1:3">
      <c r="B3" s="59" t="s">
        <v>27</v>
      </c>
      <c r="C3" s="20" t="str">
        <f>'Script Pruebas'!F19</f>
        <v>Validar o configurar el factor de equivalencia de tiempo</v>
      </c>
    </row>
    <row r="4" spans="1:3">
      <c r="B4" s="59" t="s">
        <v>28</v>
      </c>
      <c r="C4" s="20" t="str">
        <f>'Script Pruebas'!H19</f>
        <v>Factor de equivalencia creado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C77EBECB-6EBB-4114-A7CC-DAAD17838AB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Pruebas'!E20</f>
        <v>Gestión de la Carga Académica del Profesorado</v>
      </c>
    </row>
    <row r="3" spans="1:3">
      <c r="B3" s="59" t="s">
        <v>27</v>
      </c>
      <c r="C3" s="20" t="str">
        <f>'Script Pruebas'!F20</f>
        <v>Configurar las reglas de trabajo</v>
      </c>
    </row>
    <row r="4" spans="1:3">
      <c r="B4" s="59" t="s">
        <v>28</v>
      </c>
      <c r="C4" s="20" t="str">
        <f>'Script Pruebas'!H20</f>
        <v>Regla creada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6FD982B8-C3C5-4982-87AF-8C79DE0ED19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Pruebas'!E21</f>
        <v>Gestión de la Carga Académica del Profesorado</v>
      </c>
    </row>
    <row r="3" spans="1:3">
      <c r="B3" s="59" t="s">
        <v>27</v>
      </c>
      <c r="C3" s="20" t="str">
        <f>'Script Pruebas'!F21</f>
        <v>Crear las asignaciones no educativas que puede tener un docente</v>
      </c>
    </row>
    <row r="4" spans="1:3">
      <c r="B4" s="59" t="s">
        <v>28</v>
      </c>
      <c r="C4" s="20" t="str">
        <f>'Script Pruebas'!H21</f>
        <v>Asignaciones no educativas creadas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BBBA9EF9-0CAF-43F8-A4BC-7C531FAA3EC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Pruebas'!E22</f>
        <v>Gestión de la Carga Académica del Profesorado</v>
      </c>
    </row>
    <row r="3" spans="1:3">
      <c r="B3" s="59" t="s">
        <v>27</v>
      </c>
      <c r="C3" s="20" t="str">
        <f>'Script Pruebas'!F22</f>
        <v>Adicionar asignaciones no educativas al docente</v>
      </c>
    </row>
    <row r="4" spans="1:3">
      <c r="B4" s="59" t="s">
        <v>28</v>
      </c>
      <c r="C4" s="20" t="str">
        <f>'Script Pruebas'!H22</f>
        <v>Docente con asignaciones no educativas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A487E390-4D3D-40A1-B743-C7CB6F2776A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Pruebas'!E23</f>
        <v>Gestión de la Carga Académica del Profesorado</v>
      </c>
    </row>
    <row r="3" spans="1:3">
      <c r="B3" s="59" t="s">
        <v>27</v>
      </c>
      <c r="C3" s="20" t="str">
        <f>'Script Pruebas'!F23</f>
        <v>Configurar las reglas de carga de trabajo</v>
      </c>
    </row>
    <row r="4" spans="1:3">
      <c r="B4" s="59" t="s">
        <v>28</v>
      </c>
      <c r="C4" s="20" t="str">
        <f>'Script Pruebas'!H23</f>
        <v>Reglas creadas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92EC9F7F-FEF8-45D2-A886-80F057429FC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Pruebas'!E24</f>
        <v>Gestión de la Carga Académica del Profesorado</v>
      </c>
    </row>
    <row r="3" spans="1:3">
      <c r="B3" s="59" t="s">
        <v>27</v>
      </c>
      <c r="C3" s="20" t="str">
        <f>'Script Pruebas'!F24</f>
        <v>Validar las asignaciones educativas (SSASECT) y no educativas</v>
      </c>
    </row>
    <row r="4" spans="1:3">
      <c r="B4" s="59" t="s">
        <v>28</v>
      </c>
      <c r="C4" s="20" t="str">
        <f>'Script Pruebas'!H24</f>
        <v xml:space="preserve">Docente con asignaciones  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0F59E62F-1675-4686-8B11-14E28FF4C2C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1"/>
  <sheetViews>
    <sheetView workbookViewId="0">
      <selection activeCell="C4" sqref="C4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Pruebas'!E25</f>
        <v>Gestión de la Carga Académica del Profesorado</v>
      </c>
    </row>
    <row r="3" spans="1:3">
      <c r="B3" s="59" t="s">
        <v>27</v>
      </c>
      <c r="C3" s="20" t="str">
        <f>'Script Pruebas'!F25</f>
        <v>Realizar el análisis en SIAASGN con Las reglas de carga de trabajo</v>
      </c>
    </row>
    <row r="4" spans="1:3">
      <c r="B4" s="59" t="s">
        <v>28</v>
      </c>
      <c r="C4" s="20">
        <f>'Script Pruebas'!H25</f>
        <v>0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5C370CF0-847B-49F3-A511-9B5A7DBFB6B1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Pruebas'!E26</f>
        <v>Gestión de la Carga Académica del Profesorado</v>
      </c>
    </row>
    <row r="3" spans="1:3">
      <c r="B3" s="59" t="s">
        <v>27</v>
      </c>
      <c r="C3" s="20" t="str">
        <f>'Script Pruebas'!F26</f>
        <v>Configurar las reglas de periodo de contrato de docente</v>
      </c>
    </row>
    <row r="4" spans="1:3">
      <c r="B4" s="59" t="s">
        <v>28</v>
      </c>
      <c r="C4" s="20" t="str">
        <f>'Script Pruebas'!H26</f>
        <v>Reglas creadas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3D24B642-A75B-4091-8961-7B74C3FE600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1"/>
  <sheetViews>
    <sheetView workbookViewId="0">
      <selection activeCell="C5" sqref="C5"/>
    </sheetView>
  </sheetViews>
  <sheetFormatPr baseColWidth="10" defaultColWidth="9" defaultRowHeight="14.25"/>
  <cols>
    <col min="2" max="2" width="21.125" customWidth="1"/>
    <col min="3" max="3" width="33.875" bestFit="1" customWidth="1"/>
  </cols>
  <sheetData>
    <row r="1" spans="1:3">
      <c r="A1" s="21"/>
      <c r="B1" s="62" t="s">
        <v>30</v>
      </c>
    </row>
    <row r="2" spans="1:3">
      <c r="B2" s="59" t="s">
        <v>37</v>
      </c>
      <c r="C2" s="20" t="str">
        <f>'Script Pruebas'!E27</f>
        <v>Gestión de la Carga Académica del Profesorado</v>
      </c>
    </row>
    <row r="3" spans="1:3">
      <c r="B3" s="59" t="s">
        <v>27</v>
      </c>
      <c r="C3" s="20" t="str">
        <f>'Script Pruebas'!F27</f>
        <v>Realizar el análisis en SIACONA con las reglas de contrato</v>
      </c>
    </row>
    <row r="4" spans="1:3">
      <c r="B4" s="59" t="s">
        <v>28</v>
      </c>
      <c r="C4" s="20">
        <f>'Script Pruebas'!H27</f>
        <v>0</v>
      </c>
    </row>
    <row r="5" spans="1:3">
      <c r="B5" s="60"/>
    </row>
    <row r="6" spans="1:3">
      <c r="B6" s="61" t="s">
        <v>4</v>
      </c>
    </row>
    <row r="9" spans="1:3" ht="15">
      <c r="B9" s="25" t="s">
        <v>31</v>
      </c>
    </row>
    <row r="31" spans="2:2" ht="15">
      <c r="B31" s="48"/>
    </row>
  </sheetData>
  <hyperlinks>
    <hyperlink ref="B1" location="'Script Pruebas'!A1" display="Regresar al Script de Pruebas" xr:uid="{78213FA6-44EE-4AD9-8245-891B5F6D5E2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490C7BC0C495342AD6063362436FE09" ma:contentTypeVersion="8" ma:contentTypeDescription="Crear nuevo documento." ma:contentTypeScope="" ma:versionID="29e37604ab2abccc514d735880be3d02">
  <xsd:schema xmlns:xsd="http://www.w3.org/2001/XMLSchema" xmlns:xs="http://www.w3.org/2001/XMLSchema" xmlns:p="http://schemas.microsoft.com/office/2006/metadata/properties" xmlns:ns2="144dfa80-2626-4eec-ae77-1aa68d108c35" xmlns:ns3="6525359f-44a6-4c75-8d81-0965a232039c" targetNamespace="http://schemas.microsoft.com/office/2006/metadata/properties" ma:root="true" ma:fieldsID="8f98eaac1a20865d6dbef61912be8a4b" ns2:_="" ns3:_="">
    <xsd:import namespace="144dfa80-2626-4eec-ae77-1aa68d108c35"/>
    <xsd:import namespace="6525359f-44a6-4c75-8d81-0965a23203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fa80-2626-4eec-ae77-1aa68d108c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25359f-44a6-4c75-8d81-0965a23203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BD555C-F098-4DDA-8D10-C3C921FB0DB9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525359f-44a6-4c75-8d81-0965a232039c"/>
    <ds:schemaRef ds:uri="http://purl.org/dc/terms/"/>
    <ds:schemaRef ds:uri="http://schemas.openxmlformats.org/package/2006/metadata/core-properties"/>
    <ds:schemaRef ds:uri="144dfa80-2626-4eec-ae77-1aa68d108c3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D48895A-99D7-4010-8C21-1A6D34FD2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4dfa80-2626-4eec-ae77-1aa68d108c35"/>
    <ds:schemaRef ds:uri="6525359f-44a6-4c75-8d81-0965a2320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66EFB1-B2C5-43BA-90A5-2BDC4C2C6F1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Script Pruebas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'Script Pruebas'!Área_de_impresión</vt:lpstr>
    </vt:vector>
  </TitlesOfParts>
  <Manager/>
  <Company>Datatel,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Issue Log Template</dc:title>
  <dc:subject>Change Control Log</dc:subject>
  <dc:creator>Tamara Ostling</dc:creator>
  <cp:keywords>Change Control Log</cp:keywords>
  <dc:description/>
  <cp:lastModifiedBy>Junior Lino Bravo Inuma</cp:lastModifiedBy>
  <cp:revision/>
  <dcterms:created xsi:type="dcterms:W3CDTF">2013-01-24T20:26:32Z</dcterms:created>
  <dcterms:modified xsi:type="dcterms:W3CDTF">2026-07-06T22:49:59Z</dcterms:modified>
  <cp:category>Change Control Log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0x010100E490C7BC0C495342AD6063362436FE09</vt:lpwstr>
  </property>
  <property fmtid="{D5CDD505-2E9C-101B-9397-08002B2CF9AE}" pid="3" name="Order">
    <vt:r8>7600</vt:r8>
  </property>
  <property fmtid="{D5CDD505-2E9C-101B-9397-08002B2CF9AE}" pid="4" name="xd_ProgID">
    <vt:lpwstr/>
  </property>
  <property fmtid="{D5CDD505-2E9C-101B-9397-08002B2CF9AE}" pid="5" name="_SharedFileIndex">
    <vt:lpwstr/>
  </property>
  <property fmtid="{D5CDD505-2E9C-101B-9397-08002B2CF9AE}" pid="6" name="_SourceUrl">
    <vt:lpwstr/>
  </property>
  <property fmtid="{D5CDD505-2E9C-101B-9397-08002B2CF9AE}" pid="7" name="TemplateUrl">
    <vt:lpwstr/>
  </property>
  <property fmtid="{D5CDD505-2E9C-101B-9397-08002B2CF9AE}" pid="8" name="_NewReviewCycle">
    <vt:lpwstr/>
  </property>
</Properties>
</file>